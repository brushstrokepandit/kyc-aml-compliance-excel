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Client_Master" sheetId="4" state="visible" r:id="rId6"/>
    <sheet name="Transactions" sheetId="5" state="visible" r:id="rId7"/>
    <sheet name="CTR_Log" sheetId="6" state="visible" r:id="rId8"/>
    <sheet name="Alert_Monitoring" sheetId="7" state="visible" r:id="rId9"/>
    <sheet name="Escalation_Matrix" sheetId="8" state="visible" r:id="rId10"/>
    <sheet name="Escalation_Log" sheetId="9" state="visible" r:id="rId11"/>
    <sheet name="Src_CoreBanking" sheetId="10" state="visible" r:id="rId12"/>
    <sheet name="Src_BankStatement" sheetId="11" state="visible" r:id="rId13"/>
    <sheet name="Recon_Client" sheetId="12" state="visible" r:id="rId14"/>
    <sheet name="Recon_Txn" sheetId="13" state="visible" r:id="rId15"/>
    <sheet name="Customer_Issues" sheetId="14" state="visible" r:id="rId16"/>
  </sheets>
  <definedNames>
    <definedName function="false" hidden="true" localSheetId="6" name="_xlnm._FilterDatabase" vbProcedure="false">Alert_Monitoring!$A$1:$S$41</definedName>
    <definedName function="false" hidden="true" localSheetId="3" name="_xlnm._FilterDatabase" vbProcedure="false">Client_Master!$A$1:$AE$41</definedName>
    <definedName function="false" hidden="true" localSheetId="5" name="_xlnm._FilterDatabase" vbProcedure="false">CTR_Log!$A$1:$M$21</definedName>
    <definedName function="false" hidden="true" localSheetId="13" name="_xlnm._FilterDatabase" vbProcedure="false">Customer_Issues!$A$1:$O$15</definedName>
    <definedName function="false" hidden="true" localSheetId="8" name="_xlnm._FilterDatabase" vbProcedure="false">Escalation_Log!$A$1:$O$11</definedName>
    <definedName function="false" hidden="true" localSheetId="7" name="_xlnm._FilterDatabase" vbProcedure="false">Escalation_Matrix!$A$1:$F$4</definedName>
    <definedName function="false" hidden="true" localSheetId="11" name="_xlnm._FilterDatabase" vbProcedure="false">Recon_Client!$A$1:$N$42</definedName>
    <definedName function="false" hidden="true" localSheetId="12" name="_xlnm._FilterDatabase" vbProcedure="false">Recon_Txn!$A$1:$I$115</definedName>
    <definedName function="false" hidden="true" localSheetId="10" name="_xlnm._FilterDatabase" vbProcedure="false">Src_BankStatement!$A$1:$C$114</definedName>
    <definedName function="false" hidden="true" localSheetId="9" name="_xlnm._FilterDatabase" vbProcedure="false">Src_CoreBanking!$A$1:$E$41</definedName>
    <definedName function="false" hidden="true" localSheetId="4" name="_xlnm._FilterDatabase" vbProcedure="false">Transactions!$A$1:$O$114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<sst xmlns="http://schemas.openxmlformats.org/spreadsheetml/2006/main" count="2123" uniqueCount="684">
  <si>
    <t xml:space="preserve">KYC / AML Compliance Operations Simulation</t>
  </si>
  <si>
    <t xml:space="preserve">An Excel-only (formula-driven, no macros, no code) portfolio project for a Client Data / KYC Analyst role.</t>
  </si>
  <si>
    <t xml:space="preserve">IMPORTANT</t>
  </si>
  <si>
    <t xml:space="preserve">All clients, transactions and amounts are SYNTHETIC (invented). Thresholds, country scores and rules are illustrative and not legal advice. This is a self-built simulation to show method and skills, not real work history.</t>
  </si>
  <si>
    <t xml:space="preserve">PURPOSE</t>
  </si>
  <si>
    <t xml:space="preserve">Simulates the day-to-day work of a KYC quality reviewer: check client records for completeness and errors, monitor transactions against red flags, assess CTR obligations, reconcile two data sources, escalate with a written risk summary, and resolve client-facing issues within SLA.</t>
  </si>
  <si>
    <t xml:space="preserve">SHEET GUIDE</t>
  </si>
  <si>
    <t xml:space="preserve">Dashboard</t>
  </si>
  <si>
    <t xml:space="preserve">KPIs and charts across every process, all formula-driven.</t>
  </si>
  <si>
    <t xml:space="preserve">Assumptions</t>
  </si>
  <si>
    <t xml:space="preserve">Thresholds, risk-scoring tables, review cycles and SLAs (blue = editable inputs). Change a value and every sheet recalculates.</t>
  </si>
  <si>
    <t xml:space="preserve">Client_Master</t>
  </si>
  <si>
    <t xml:space="preserve">KYC records for 40 clients + automated checks: document completeness, risk score vs assigned rating, periodic review due dates, duplicates, date logic and blank fields.</t>
  </si>
  <si>
    <t xml:space="preserve">Transactions</t>
  </si>
  <si>
    <t xml:space="preserve">Cash and wire activity with helper columns: near-threshold flag, daily cash aggregation, country risk, KYC status.</t>
  </si>
  <si>
    <t xml:space="preserve">CTR_Log</t>
  </si>
  <si>
    <t xml:space="preserve">Daily cash aggregation per client and direction, CTR required test, filing deadline and timeliness tracking.</t>
  </si>
  <si>
    <t xml:space="preserve">Alert_Monitoring</t>
  </si>
  <si>
    <t xml:space="preserve">Six scenario rules (R1-R6) per client, with an ESCALATE / Analyst Review / No Action disposition.</t>
  </si>
  <si>
    <t xml:space="preserve">Escalation_Matrix</t>
  </si>
  <si>
    <t xml:space="preserve">Escalation levels, owners, SLAs and documentation requirements.</t>
  </si>
  <si>
    <t xml:space="preserve">Escalation_Log</t>
  </si>
  <si>
    <t xml:space="preserve">10 cases with analyst-written risk summaries, SLA tracking and outcomes.</t>
  </si>
  <si>
    <t xml:space="preserve">Recon_Client</t>
  </si>
  <si>
    <t xml:space="preserve">CRM vs Core Banking client data reconciliation (name, country, rating, missing records, active accounts with incomplete KYC).</t>
  </si>
  <si>
    <t xml:space="preserve">Recon_Txn</t>
  </si>
  <si>
    <t xml:space="preserve">Ledger vs bank statement reconciliation with a control-total proof that every difference is explained.</t>
  </si>
  <si>
    <t xml:space="preserve">Customer_Issues</t>
  </si>
  <si>
    <t xml:space="preserve">14 client/internal tickets with priority, SLA tracking and resolution notes.</t>
  </si>
  <si>
    <t xml:space="preserve">Src_CoreBanking / Src_BankStatement</t>
  </si>
  <si>
    <t xml:space="preserve">Source extracts used by the reconciliations.</t>
  </si>
  <si>
    <t xml:space="preserve">COLOUR LEGEND</t>
  </si>
  <si>
    <t xml:space="preserve">Navy header</t>
  </si>
  <si>
    <t xml:space="preserve">Raw data / manual input columns (safe to edit).</t>
  </si>
  <si>
    <t xml:space="preserve">Grey header</t>
  </si>
  <si>
    <t xml:space="preserve">Formula columns - do not overwrite.</t>
  </si>
  <si>
    <t xml:space="preserve">Red / amber / green cells</t>
  </si>
  <si>
    <t xml:space="preserve">Conditional formatting: red = exception or breach, amber = attention, green = OK.</t>
  </si>
  <si>
    <t xml:space="preserve">PLANTED SCENARIOS (what a reviewer should find)</t>
  </si>
  <si>
    <t xml:space="preserve">CTR aggregation</t>
  </si>
  <si>
    <t xml:space="preserve">C005: two same-day deposits ($6,200 + $5,100) aggregate above $10,000. C012: single $14,500 deposit. C008: three large deposits, one CTR not filed by the deadline.</t>
  </si>
  <si>
    <t xml:space="preserve">Structuring</t>
  </si>
  <si>
    <t xml:space="preserve">C019: four deposits of $9,200-$9,800 in five days, each under the threshold.</t>
  </si>
  <si>
    <t xml:space="preserve">High-risk jurisdiction</t>
  </si>
  <si>
    <t xml:space="preserve">C027: $105,000 wired to Myanmar; client under-rated.</t>
  </si>
  <si>
    <t xml:space="preserve">PEP / pass-through</t>
  </si>
  <si>
    <t xml:space="preserve">C015: PEP with $240,000 of wires. C022: $250,000 in, $246,500 out within three days.</t>
  </si>
  <si>
    <t xml:space="preserve">Sanctions / onboarding</t>
  </si>
  <si>
    <t xml:space="preserve">C036: unresolved potential match. C038: wire received before KYC completion.</t>
  </si>
  <si>
    <t xml:space="preserve">Data breaks</t>
  </si>
  <si>
    <t xml:space="preserve">Name, country and rating mismatches; client missing from core banking; account with no KYC record (C041); duplicate client record; date logic error; 3 amount breaks, 2 missing and 1 duplicate in the bank statement.</t>
  </si>
  <si>
    <t xml:space="preserve">HOW TO USE</t>
  </si>
  <si>
    <t xml:space="preserve">1</t>
  </si>
  <si>
    <t xml:space="preserve">Open Dashboard for the overall picture, then follow each exception to its sheet.</t>
  </si>
  <si>
    <t xml:space="preserve">2</t>
  </si>
  <si>
    <t xml:space="preserve">Change a threshold in Assumptions (e.g. CTR threshold) and watch CTR flags, alerts and the dashboard update.</t>
  </si>
  <si>
    <t xml:space="preserve">3</t>
  </si>
  <si>
    <t xml:space="preserve">Add a row to Client_Master or Transactions and copy the grey formula cells down to test a new case.</t>
  </si>
  <si>
    <t xml:space="preserve">KYC / AML Compliance Operations - Dashboard</t>
  </si>
  <si>
    <t xml:space="preserve">1. KYC FILE HEALTH</t>
  </si>
  <si>
    <t xml:space="preserve">Total client records</t>
  </si>
  <si>
    <t xml:space="preserve">Complete KYC files</t>
  </si>
  <si>
    <t xml:space="preserve">% files complete</t>
  </si>
  <si>
    <t xml:space="preserve">Records missing one or more documents</t>
  </si>
  <si>
    <t xml:space="preserve">Periodic reviews overdue</t>
  </si>
  <si>
    <t xml:space="preserve">Periodic reviews due within 60 days</t>
  </si>
  <si>
    <t xml:space="preserve">Risk rating mismatches (under/over-rated)</t>
  </si>
  <si>
    <t xml:space="preserve">PEP clients</t>
  </si>
  <si>
    <t xml:space="preserve">Records with at least one DQ exception</t>
  </si>
  <si>
    <t xml:space="preserve">Transactions on accounts with incomplete / no KYC</t>
  </si>
  <si>
    <t xml:space="preserve">2. RISK RATING DISTRIBUTION (assigned)</t>
  </si>
  <si>
    <t xml:space="preserve">High</t>
  </si>
  <si>
    <t xml:space="preserve">Medium</t>
  </si>
  <si>
    <t xml:space="preserve">Low</t>
  </si>
  <si>
    <t xml:space="preserve">3. CTR REPORTING</t>
  </si>
  <si>
    <t xml:space="preserve">Client-days requiring a CTR</t>
  </si>
  <si>
    <t xml:space="preserve">Total cash value covered by CTRs (USD)</t>
  </si>
  <si>
    <t xml:space="preserve">Filed on time</t>
  </si>
  <si>
    <t xml:space="preserve">Pending - within deadline</t>
  </si>
  <si>
    <t xml:space="preserve">Late / not filed (exceptions)</t>
  </si>
  <si>
    <t xml:space="preserve">Near-threshold cash transactions (structuring watch)</t>
  </si>
  <si>
    <t xml:space="preserve">4. TRANSACTION MONITORING</t>
  </si>
  <si>
    <t xml:space="preserve">Clients monitored</t>
  </si>
  <si>
    <t xml:space="preserve">Disposition: ESCALATE</t>
  </si>
  <si>
    <t xml:space="preserve">Disposition: Analyst Review</t>
  </si>
  <si>
    <t xml:space="preserve">Disposition: No Action</t>
  </si>
  <si>
    <t xml:space="preserve">5. ESCALATIONS</t>
  </si>
  <si>
    <t xml:space="preserve">Cases logged</t>
  </si>
  <si>
    <t xml:space="preserve">Open cases</t>
  </si>
  <si>
    <t xml:space="preserve">Closed cases</t>
  </si>
  <si>
    <t xml:space="preserve">SLA breached</t>
  </si>
  <si>
    <t xml:space="preserve">6. DATA RECONCILIATION</t>
  </si>
  <si>
    <t xml:space="preserve">Client recon: reconciled</t>
  </si>
  <si>
    <t xml:space="preserve">Client recon: field breaks</t>
  </si>
  <si>
    <t xml:space="preserve">Client recon: missing in CRM / Core</t>
  </si>
  <si>
    <t xml:space="preserve">Active accounts with incomplete / no KYC</t>
  </si>
  <si>
    <t xml:space="preserve">Txn recon: Matched</t>
  </si>
  <si>
    <t xml:space="preserve">Txn recon: Amount Break</t>
  </si>
  <si>
    <t xml:space="preserve">Txn recon: Missing in Statement</t>
  </si>
  <si>
    <t xml:space="preserve">Txn recon: Missing in Ledger</t>
  </si>
  <si>
    <t xml:space="preserve">Txn recon: Duplicate in Statement</t>
  </si>
  <si>
    <t xml:space="preserve">Unexplained control-total difference (USD)</t>
  </si>
  <si>
    <t xml:space="preserve">7. CUSTOMER ISSUES</t>
  </si>
  <si>
    <t xml:space="preserve">Issues logged</t>
  </si>
  <si>
    <t xml:space="preserve">Open issues</t>
  </si>
  <si>
    <t xml:space="preserve">Issues within SLA (% of all logged)</t>
  </si>
  <si>
    <t xml:space="preserve">Assumptions &amp; Reference Tables</t>
  </si>
  <si>
    <t xml:space="preserve">Blue values are inputs - change them and every sheet recalculates. All thresholds are ILLUSTRATIVE; replace with your firm/regulator values.</t>
  </si>
  <si>
    <t xml:space="preserve">Parameter</t>
  </si>
  <si>
    <t xml:space="preserve">Value</t>
  </si>
  <si>
    <t xml:space="preserve">Note / Basis</t>
  </si>
  <si>
    <t xml:space="preserve">As-of (review) date</t>
  </si>
  <si>
    <t xml:space="preserve">Fixed date so results are reproducible. Replace with =TODAY() for live use.</t>
  </si>
  <si>
    <t xml:space="preserve">CTR threshold (USD)</t>
  </si>
  <si>
    <t xml:space="preserve">US BSA: cash transactions MORE than $10,000 in one business day, aggregated per person, per direction. Edit for other regimes.</t>
  </si>
  <si>
    <t xml:space="preserve">Structuring band - lower bound (USD)</t>
  </si>
  <si>
    <t xml:space="preserve">Cash amounts from this value up to the CTR threshold are treated as "near-threshold".</t>
  </si>
  <si>
    <t xml:space="preserve">Min near-threshold cash txns to alert</t>
  </si>
  <si>
    <t xml:space="preserve">Rule R1: number of near-threshold cash transactions in the window.</t>
  </si>
  <si>
    <t xml:space="preserve">Cash vs profile multiple</t>
  </si>
  <si>
    <t xml:space="preserve">Rule R2: alert when actual cash &gt; expected cash x this multiple.</t>
  </si>
  <si>
    <t xml:space="preserve">Monitoring window (months)</t>
  </si>
  <si>
    <t xml:space="preserve">Transactions cover Sep-Oct 2026. Expected cash is scaled by this.</t>
  </si>
  <si>
    <t xml:space="preserve">CTR filing deadline (calendar days)</t>
  </si>
  <si>
    <t xml:space="preserve">US FinCEN CTR: file within 15 calendar days of the transaction.</t>
  </si>
  <si>
    <t xml:space="preserve">PEP activity review threshold (USD)</t>
  </si>
  <si>
    <t xml:space="preserve">Rule R4: PEP with total wire value at/above this is escalated.</t>
  </si>
  <si>
    <t xml:space="preserve">Pass-through tolerance (+/-)</t>
  </si>
  <si>
    <t xml:space="preserve">Rule R5: outbound within +/-5% of inbound.</t>
  </si>
  <si>
    <t xml:space="preserve">Pass-through minimum value (USD)</t>
  </si>
  <si>
    <t xml:space="preserve">Rule R5: both inbound and outbound wires at least this size.</t>
  </si>
  <si>
    <t xml:space="preserve">High risk - minimum score</t>
  </si>
  <si>
    <t xml:space="preserve">Score &gt;= this = High.</t>
  </si>
  <si>
    <t xml:space="preserve">Medium risk - minimum score</t>
  </si>
  <si>
    <t xml:space="preserve">Score &gt;= this (and below High) = Medium.</t>
  </si>
  <si>
    <t xml:space="preserve">PEP score weight</t>
  </si>
  <si>
    <t xml:space="preserve">Added to risk score when client is a PEP.</t>
  </si>
  <si>
    <t xml:space="preserve">Reference tables (risk scoring, review cycles, SLAs)</t>
  </si>
  <si>
    <t xml:space="preserve">Country</t>
  </si>
  <si>
    <t xml:space="preserve">Risk Score (0-3)</t>
  </si>
  <si>
    <t xml:space="preserve">Basis (illustrative - not an official list)</t>
  </si>
  <si>
    <t xml:space="preserve">Industry</t>
  </si>
  <si>
    <t xml:space="preserve">Risk Score</t>
  </si>
  <si>
    <t xml:space="preserve">Entity Type</t>
  </si>
  <si>
    <t xml:space="preserve">Risk Rating</t>
  </si>
  <si>
    <t xml:space="preserve">Review Cycle (Years)</t>
  </si>
  <si>
    <t xml:space="preserve">Issue Priority</t>
  </si>
  <si>
    <t xml:space="preserve">SLA (business days)</t>
  </si>
  <si>
    <t xml:space="preserve">United States</t>
  </si>
  <si>
    <t xml:space="preserve">Lower risk</t>
  </si>
  <si>
    <t xml:space="preserve">Software/IT</t>
  </si>
  <si>
    <t xml:space="preserve">Corporate</t>
  </si>
  <si>
    <t xml:space="preserve">United Kingdom</t>
  </si>
  <si>
    <t xml:space="preserve">Manufacturing</t>
  </si>
  <si>
    <t xml:space="preserve">Individual</t>
  </si>
  <si>
    <t xml:space="preserve">India</t>
  </si>
  <si>
    <t xml:space="preserve">Healthcare</t>
  </si>
  <si>
    <t xml:space="preserve">Partnership</t>
  </si>
  <si>
    <t xml:space="preserve">Singapore</t>
  </si>
  <si>
    <t xml:space="preserve">Consulting</t>
  </si>
  <si>
    <t xml:space="preserve">Trust</t>
  </si>
  <si>
    <t xml:space="preserve">Germany</t>
  </si>
  <si>
    <t xml:space="preserve">Retail</t>
  </si>
  <si>
    <t xml:space="preserve">Switzerland</t>
  </si>
  <si>
    <t xml:space="preserve">Logistics &amp; Shipping</t>
  </si>
  <si>
    <t xml:space="preserve">Japan</t>
  </si>
  <si>
    <t xml:space="preserve">Real Estate</t>
  </si>
  <si>
    <t xml:space="preserve">Canada</t>
  </si>
  <si>
    <t xml:space="preserve">Import/Export Trading</t>
  </si>
  <si>
    <t xml:space="preserve">Hong Kong</t>
  </si>
  <si>
    <t xml:space="preserve">Medium - monitor</t>
  </si>
  <si>
    <t xml:space="preserve">Restaurants &amp; Hospitality</t>
  </si>
  <si>
    <t xml:space="preserve">United Arab Emirates</t>
  </si>
  <si>
    <t xml:space="preserve">Charity/NGO</t>
  </si>
  <si>
    <t xml:space="preserve">Cyprus</t>
  </si>
  <si>
    <t xml:space="preserve">Used Vehicle Dealers</t>
  </si>
  <si>
    <t xml:space="preserve">Turkey</t>
  </si>
  <si>
    <t xml:space="preserve">Jewelry &amp; Precious Metals</t>
  </si>
  <si>
    <t xml:space="preserve">Panama</t>
  </si>
  <si>
    <t xml:space="preserve">Elevated risk</t>
  </si>
  <si>
    <t xml:space="preserve">Money Services Business</t>
  </si>
  <si>
    <t xml:space="preserve">Cayman Islands</t>
  </si>
  <si>
    <t xml:space="preserve">Casinos &amp; Gaming</t>
  </si>
  <si>
    <t xml:space="preserve">Nigeria</t>
  </si>
  <si>
    <t xml:space="preserve">Myanmar</t>
  </si>
  <si>
    <t xml:space="preserve">High risk / call for action</t>
  </si>
  <si>
    <t xml:space="preserve">Iran</t>
  </si>
  <si>
    <t xml:space="preserve">North Korea</t>
  </si>
  <si>
    <t xml:space="preserve">Risk score = Country + Industry + Entity type + (PEP weight if PEP). Rating: High / Medium / Low per thresholds above.</t>
  </si>
  <si>
    <t xml:space="preserve">Client ID</t>
  </si>
  <si>
    <t xml:space="preserve">Legal Name</t>
  </si>
  <si>
    <t xml:space="preserve">Onboarding Date</t>
  </si>
  <si>
    <t xml:space="preserve">Last KYC Review</t>
  </si>
  <si>
    <t xml:space="preserve">Assigned Risk Rating</t>
  </si>
  <si>
    <t xml:space="preserve">CIP Verified (Y/N)</t>
  </si>
  <si>
    <t xml:space="preserve">UBO Identified (Y/N)</t>
  </si>
  <si>
    <t xml:space="preserve">Address Proof (Y/N)</t>
  </si>
  <si>
    <t xml:space="preserve">Source of Funds (Y/N)</t>
  </si>
  <si>
    <t xml:space="preserve">Sanctions Screening</t>
  </si>
  <si>
    <t xml:space="preserve">PEP (Y/N)</t>
  </si>
  <si>
    <t xml:space="preserve">Expected Monthly Cash (USD)</t>
  </si>
  <si>
    <t xml:space="preserve">Docs Missing (of 4)</t>
  </si>
  <si>
    <t xml:space="preserve">Blank Mandatory Fields</t>
  </si>
  <si>
    <t xml:space="preserve">File Status</t>
  </si>
  <si>
    <t xml:space="preserve">Country Score</t>
  </si>
  <si>
    <t xml:space="preserve">Industry Score</t>
  </si>
  <si>
    <t xml:space="preserve">Entity Score</t>
  </si>
  <si>
    <t xml:space="preserve">Calculated Rating</t>
  </si>
  <si>
    <t xml:space="preserve">Rating Check</t>
  </si>
  <si>
    <t xml:space="preserve">Review Cycle (Yrs)</t>
  </si>
  <si>
    <t xml:space="preserve">Next Review Due</t>
  </si>
  <si>
    <t xml:space="preserve">Review Status</t>
  </si>
  <si>
    <t xml:space="preserve">Days Overdue</t>
  </si>
  <si>
    <t xml:space="preserve">Duplicate Check</t>
  </si>
  <si>
    <t xml:space="preserve">Date Logic Check</t>
  </si>
  <si>
    <t xml:space="preserve">DQ Exception Count</t>
  </si>
  <si>
    <t xml:space="preserve">C001</t>
  </si>
  <si>
    <t xml:space="preserve">Aurora Software Solutions Pvt Ltd</t>
  </si>
  <si>
    <t xml:space="preserve">Y</t>
  </si>
  <si>
    <t xml:space="preserve">Clear</t>
  </si>
  <si>
    <t xml:space="preserve">N</t>
  </si>
  <si>
    <t xml:space="preserve">C002</t>
  </si>
  <si>
    <t xml:space="preserve">Nordic Precision Manufacturing GmbH</t>
  </si>
  <si>
    <t xml:space="preserve">C003</t>
  </si>
  <si>
    <t xml:space="preserve">Lotus Healthcare Systems Ltd</t>
  </si>
  <si>
    <t xml:space="preserve">C004</t>
  </si>
  <si>
    <t xml:space="preserve">Thames Consulting Partners LLP</t>
  </si>
  <si>
    <t xml:space="preserve">C005</t>
  </si>
  <si>
    <t xml:space="preserve">Spice Route Restaurants Group Inc</t>
  </si>
  <si>
    <t xml:space="preserve">C006</t>
  </si>
  <si>
    <t xml:space="preserve">Meridian Textile Exports Pvt Ltd</t>
  </si>
  <si>
    <t xml:space="preserve">C007</t>
  </si>
  <si>
    <t xml:space="preserve">Alpine Logistics AG</t>
  </si>
  <si>
    <t xml:space="preserve">C008</t>
  </si>
  <si>
    <t xml:space="preserve">Golden Crest Jewellers LLC</t>
  </si>
  <si>
    <t xml:space="preserve">C009</t>
  </si>
  <si>
    <t xml:space="preserve">Pinnacle Realty Developers Ltd</t>
  </si>
  <si>
    <t xml:space="preserve">C010</t>
  </si>
  <si>
    <t xml:space="preserve">Harbour Point Trading Co</t>
  </si>
  <si>
    <t xml:space="preserve">C011</t>
  </si>
  <si>
    <t xml:space="preserve">Coral Reef Gaming Ltd</t>
  </si>
  <si>
    <t xml:space="preserve">C012</t>
  </si>
  <si>
    <t xml:space="preserve">Brightline Retail Holdings Inc</t>
  </si>
  <si>
    <t xml:space="preserve">C013</t>
  </si>
  <si>
    <t xml:space="preserve">Sakura Electronics KK</t>
  </si>
  <si>
    <t xml:space="preserve">C014</t>
  </si>
  <si>
    <t xml:space="preserve">Maple Leaf Health Clinics Inc</t>
  </si>
  <si>
    <t xml:space="preserve">C015</t>
  </si>
  <si>
    <t xml:space="preserve">Hollis Capital Partners LLP</t>
  </si>
  <si>
    <t xml:space="preserve">C016</t>
  </si>
  <si>
    <t xml:space="preserve">Bluewave Software Labs Inc</t>
  </si>
  <si>
    <t xml:space="preserve">C017</t>
  </si>
  <si>
    <t xml:space="preserve">Evergreen Charitable Foundation</t>
  </si>
  <si>
    <t xml:space="preserve">C018</t>
  </si>
  <si>
    <t xml:space="preserve">Orion Freight Forwarders Pvt Ltd</t>
  </si>
  <si>
    <t xml:space="preserve">C019</t>
  </si>
  <si>
    <t xml:space="preserve">Metro Fuel &amp; Convenience Stores Inc</t>
  </si>
  <si>
    <t xml:space="preserve">C020</t>
  </si>
  <si>
    <t xml:space="preserve">Rhine Valley Pharma GmbH</t>
  </si>
  <si>
    <t xml:space="preserve">C021</t>
  </si>
  <si>
    <t xml:space="preserve">Kestrel Engineering Services Pte Ltd</t>
  </si>
  <si>
    <t xml:space="preserve">C022</t>
  </si>
  <si>
    <t xml:space="preserve">Vantage Commodities Trading FZE</t>
  </si>
  <si>
    <t xml:space="preserve">C023</t>
  </si>
  <si>
    <t xml:space="preserve">Cedar Hill Property Holdings Ltd</t>
  </si>
  <si>
    <t xml:space="preserve">C024</t>
  </si>
  <si>
    <t xml:space="preserve">Sunrise Auto Traders LLC</t>
  </si>
  <si>
    <t xml:space="preserve">C025</t>
  </si>
  <si>
    <t xml:space="preserve">Crescent Remit Services LLP</t>
  </si>
  <si>
    <t xml:space="preserve">C026</t>
  </si>
  <si>
    <t xml:space="preserve">Palm Bay Casino Resorts</t>
  </si>
  <si>
    <t xml:space="preserve">C027</t>
  </si>
  <si>
    <t xml:space="preserve">Irrawaddy Trade Links Ltd</t>
  </si>
  <si>
    <t xml:space="preserve">C028</t>
  </si>
  <si>
    <t xml:space="preserve">Zurich Wealth Advisory AG</t>
  </si>
  <si>
    <t xml:space="preserve">C029</t>
  </si>
  <si>
    <t xml:space="preserve">The Halvorsen Family Trust</t>
  </si>
  <si>
    <t xml:space="preserve">C030</t>
  </si>
  <si>
    <t xml:space="preserve">Delta Cloud Systems Pvt Ltd</t>
  </si>
  <si>
    <t xml:space="preserve">C031</t>
  </si>
  <si>
    <t xml:space="preserve">C032</t>
  </si>
  <si>
    <t xml:space="preserve">Anatolia Steel Works AS</t>
  </si>
  <si>
    <t xml:space="preserve">C033</t>
  </si>
  <si>
    <t xml:space="preserve">Lakeview Medical Supplies Inc</t>
  </si>
  <si>
    <t xml:space="preserve">C034</t>
  </si>
  <si>
    <t xml:space="preserve">Skyline Hospitality Group Ltd</t>
  </si>
  <si>
    <t xml:space="preserve">C035</t>
  </si>
  <si>
    <t xml:space="preserve">Granite Peak Mining Services Ltd</t>
  </si>
  <si>
    <t xml:space="preserve">C036</t>
  </si>
  <si>
    <t xml:space="preserve">Baltic Star Shipping Ltd</t>
  </si>
  <si>
    <t xml:space="preserve">Potential Match</t>
  </si>
  <si>
    <t xml:space="preserve">C037</t>
  </si>
  <si>
    <t xml:space="preserve">Emerald Isle Software Ltd</t>
  </si>
  <si>
    <t xml:space="preserve">C038</t>
  </si>
  <si>
    <t xml:space="preserve">Zenith Wellness Clinics Pvt Ltd</t>
  </si>
  <si>
    <t xml:space="preserve">Not Done</t>
  </si>
  <si>
    <t xml:space="preserve">C039</t>
  </si>
  <si>
    <t xml:space="preserve">Ridgeway Used Cars Ltd</t>
  </si>
  <si>
    <t xml:space="preserve">C040</t>
  </si>
  <si>
    <t xml:space="preserve">Orchid Textiles Pvt Ltd</t>
  </si>
  <si>
    <t xml:space="preserve">Txn ID</t>
  </si>
  <si>
    <t xml:space="preserve">Txn Date</t>
  </si>
  <si>
    <t xml:space="preserve">Txn Type</t>
  </si>
  <si>
    <t xml:space="preserve">Amount (USD)</t>
  </si>
  <si>
    <t xml:space="preserve">Counterparty Country</t>
  </si>
  <si>
    <t xml:space="preserve">Narrative</t>
  </si>
  <si>
    <t xml:space="preserve">Client Name</t>
  </si>
  <si>
    <t xml:space="preserve">Cash? (Y/N)</t>
  </si>
  <si>
    <t xml:space="preserve">Direction</t>
  </si>
  <si>
    <t xml:space="preserve">Near-Threshold Cash?</t>
  </si>
  <si>
    <t xml:space="preserve">Counterparty Country Score</t>
  </si>
  <si>
    <t xml:space="preserve">Daily Cash Total (client / day / direction)</t>
  </si>
  <si>
    <t xml:space="preserve">CTR Trigger</t>
  </si>
  <si>
    <t xml:space="preserve">Client KYC File Status</t>
  </si>
  <si>
    <t xml:space="preserve">T0001</t>
  </si>
  <si>
    <t xml:space="preserve">Wire In</t>
  </si>
  <si>
    <t xml:space="preserve">Customer receipt</t>
  </si>
  <si>
    <t xml:space="preserve">T0002</t>
  </si>
  <si>
    <t xml:space="preserve">Wire Out</t>
  </si>
  <si>
    <t xml:space="preserve">Trade settlement</t>
  </si>
  <si>
    <t xml:space="preserve">T0003</t>
  </si>
  <si>
    <t xml:space="preserve">T0004</t>
  </si>
  <si>
    <t xml:space="preserve">T0005</t>
  </si>
  <si>
    <t xml:space="preserve">T0006</t>
  </si>
  <si>
    <t xml:space="preserve">T0007</t>
  </si>
  <si>
    <t xml:space="preserve">T0008</t>
  </si>
  <si>
    <t xml:space="preserve">T0009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</si>
  <si>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</si>
  <si>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</si>
  <si>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</si>
  <si>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</si>
  <si>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</si>
  <si>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Cash Deposit</t>
  </si>
  <si>
    <t xml:space="preserve">Cash deposit</t>
  </si>
  <si>
    <t xml:space="preserve">T0015</t>
  </si>
  <si>
    <t xml:space="preserve">T0016</t>
  </si>
  <si>
    <t xml:space="preserve">Cash sales</t>
  </si>
  <si>
    <t xml:space="preserve">T0017</t>
  </si>
  <si>
    <t xml:space="preserve">T0018</t>
  </si>
  <si>
    <t xml:space="preserve">Cash sales - jewellery/bullion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</si>
  <si>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</si>
  <si>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</si>
  <si>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</si>
  <si>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</si>
  <si>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</si>
  <si>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</si>
  <si>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</si>
  <si>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</si>
  <si>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Daily takings</t>
  </si>
  <si>
    <t xml:space="preserve">T0027</t>
  </si>
  <si>
    <t xml:space="preserve">T0028</t>
  </si>
  <si>
    <t xml:space="preserve">Family transfer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</si>
  <si>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</si>
  <si>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</si>
  <si>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</si>
  <si>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</si>
  <si>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</si>
  <si>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</si>
  <si>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</si>
  <si>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</si>
  <si>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</si>
  <si>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</si>
  <si>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</si>
  <si>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</si>
  <si>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</si>
  <si>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</si>
  <si>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</si>
  <si>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</si>
  <si>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</si>
  <si>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</si>
  <si>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</si>
  <si>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</si>
  <si>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</si>
  <si>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Supplier payment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</si>
  <si>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</si>
  <si>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</si>
  <si>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</si>
  <si>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</si>
  <si>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</si>
  <si>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</si>
  <si>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Capital contribution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</si>
  <si>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</si>
  <si>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</si>
  <si>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</si>
  <si>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</si>
  <si>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</si>
  <si>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</si>
  <si>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</si>
  <si>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Daily takings - outlet 1</t>
  </si>
  <si>
    <t xml:space="preserve">T0063</t>
  </si>
  <si>
    <t xml:space="preserve">Daily takings - outlet 2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</si>
  <si>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</si>
  <si>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</si>
  <si>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</si>
  <si>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</si>
  <si>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</si>
  <si>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</si>
  <si>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</si>
  <si>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</si>
  <si>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</si>
  <si>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</si>
  <si>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Freight receipt</t>
  </si>
  <si>
    <t xml:space="preserve">T0074</t>
  </si>
  <si>
    <t xml:space="preserve">T0075</t>
  </si>
  <si>
    <t xml:space="preserve">T0076</t>
  </si>
  <si>
    <t xml:space="preserve">T0077</t>
  </si>
  <si>
    <t xml:space="preserve">Investment transfer</t>
  </si>
  <si>
    <t xml:space="preserve">T0078</t>
  </si>
  <si>
    <t xml:space="preserve">T0079</t>
  </si>
  <si>
    <t xml:space="preserve">T0080</t>
  </si>
  <si>
    <t xml:space="preserve">T0081</t>
  </si>
  <si>
    <t xml:space="preserve">C041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</si>
  <si>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</si>
  <si>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</si>
  <si>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</si>
  <si>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</si>
  <si>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</si>
  <si>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</si>
  <si>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</si>
  <si>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</si>
  <si>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</si>
  <si>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</si>
  <si>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</si>
  <si>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Vessel charges</t>
  </si>
  <si>
    <t xml:space="preserve">T0093</t>
  </si>
  <si>
    <t xml:space="preserve">Incoming wire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</si>
  <si>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</si>
  <si>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</si>
  <si>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</si>
  <si>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</si>
  <si>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</si>
  <si>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</si>
  <si>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Advance payment - services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</si>
  <si>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</si>
  <si>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</si>
  <si>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</si>
  <si>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</si>
  <si>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</si>
  <si>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</si>
  <si>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Cash sales deposit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</si>
  <si>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</si>
  <si>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</si>
  <si>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</si>
  <si>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</si>
  <si>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</si>
  <si>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</si>
  <si>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</si>
  <si>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</si>
  <si>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Cash Activity Date</t>
  </si>
  <si>
    <t xml:space="preserve">Cash In (Deposits)</t>
  </si>
  <si>
    <t xml:space="preserve">Cash Out (Withdrawals)</t>
  </si>
  <si>
    <t xml:space="preserve">CTR Required?</t>
  </si>
  <si>
    <t xml:space="preserve"># Cash Txns Aggregated</t>
  </si>
  <si>
    <t xml:space="preserve">Filing Deadline</t>
  </si>
  <si>
    <t xml:space="preserve">Filing Status</t>
  </si>
  <si>
    <t xml:space="preserve">Filed Date</t>
  </si>
  <si>
    <t xml:space="preserve">Days to File</t>
  </si>
  <si>
    <t xml:space="preserve">Timeliness</t>
  </si>
  <si>
    <t xml:space="preserve">Reviewer Notes</t>
  </si>
  <si>
    <t xml:space="preserve">Filed</t>
  </si>
  <si>
    <t xml:space="preserve">Two deposits same day from two outlets - aggregated for one CTR.</t>
  </si>
  <si>
    <t xml:space="preserve">Not Filed</t>
  </si>
  <si>
    <t xml:space="preserve">Filing deadline passed - see ESC-006.</t>
  </si>
  <si>
    <t xml:space="preserve">No KYC record for this client - see ESC-007.</t>
  </si>
  <si>
    <t xml:space="preserve">Pending</t>
  </si>
  <si>
    <t xml:space="preserve">Assigned Rating</t>
  </si>
  <si>
    <t xml:space="preserve">Total Cash (USD)</t>
  </si>
  <si>
    <t xml:space="preserve">Expected Cash - window (USD)</t>
  </si>
  <si>
    <t xml:space="preserve">Near-Threshold Cash Txns</t>
  </si>
  <si>
    <t xml:space="preserve">CTR Days</t>
  </si>
  <si>
    <t xml:space="preserve">High-Risk Jurisdiction Txns</t>
  </si>
  <si>
    <t xml:space="preserve">Wire In Total</t>
  </si>
  <si>
    <t xml:space="preserve">Wire Out Total</t>
  </si>
  <si>
    <t xml:space="preserve">R1 Structuring</t>
  </si>
  <si>
    <t xml:space="preserve">R2 Cash &gt; Profile</t>
  </si>
  <si>
    <t xml:space="preserve">R3 High-Risk Jurisdiction</t>
  </si>
  <si>
    <t xml:space="preserve">R4 PEP Activity</t>
  </si>
  <si>
    <t xml:space="preserve">R5 Pass-through</t>
  </si>
  <si>
    <t xml:space="preserve">R6 Sanctions Hit</t>
  </si>
  <si>
    <t xml:space="preserve">Rules Triggered</t>
  </si>
  <si>
    <t xml:space="preserve">Disposition</t>
  </si>
  <si>
    <t xml:space="preserve">Rules Fired</t>
  </si>
  <si>
    <t xml:space="preserve">Monitoring rules (scenario logic)</t>
  </si>
  <si>
    <t xml:space="preserve">Near-threshold cash transactions (from lower bound up to CTR threshold) &gt;= minimum count.</t>
  </si>
  <si>
    <t xml:space="preserve">Total cash exceeds expected monthly cash x window x multiple (or any cash if profile is zero).</t>
  </si>
  <si>
    <t xml:space="preserve">Any transaction with a counterparty in a score-3 country.</t>
  </si>
  <si>
    <t xml:space="preserve">PEP client with total wire value at/above the review threshold.</t>
  </si>
  <si>
    <t xml:space="preserve">Wire In and Wire Out both &gt;= minimum and within the tolerance of each other (rapid in/out).</t>
  </si>
  <si>
    <t xml:space="preserve">Screening result is "Potential Match" (unresolved).</t>
  </si>
  <si>
    <t xml:space="preserve">ESCALATE if R1, R3, R4 or R6 fires, or 2+ rules fire. Analyst Review if exactly one other rule fires. Else No Action.</t>
  </si>
  <si>
    <t xml:space="preserve">Level</t>
  </si>
  <si>
    <t xml:space="preserve">Typical Triggers</t>
  </si>
  <si>
    <t xml:space="preserve">Required Action</t>
  </si>
  <si>
    <t xml:space="preserve">Escalate To</t>
  </si>
  <si>
    <t xml:space="preserve">Documentation Required</t>
  </si>
  <si>
    <t xml:space="preserve">L1 - Analyst Review</t>
  </si>
  <si>
    <t xml:space="preserve">Single monitoring rule (R2, R5); data-quality exceptions; missing documents; rating mismatches.</t>
  </si>
  <si>
    <t xml:space="preserve">Review file, request missing documents via RM, correct record, document rationale.</t>
  </si>
  <si>
    <t xml:space="preserve">Team Lead / QC</t>
  </si>
  <si>
    <t xml:space="preserve">Case note, document request log, updated KYC record.</t>
  </si>
  <si>
    <t xml:space="preserve">L2 - Compliance</t>
  </si>
  <si>
    <t xml:space="preserve">PEP activity; sanctions potential match; activity before KYC completion; account with no KYC record; late CTR.</t>
  </si>
  <si>
    <t xml:space="preserve">Refer with draft risk summary. Restrict activity where policy requires. Obtain senior-management sign-off where needed.</t>
  </si>
  <si>
    <t xml:space="preserve">Compliance (Middle Office)</t>
  </si>
  <si>
    <t xml:space="preserve">Risk summary, supporting evidence, screening disposition, approval record.</t>
  </si>
  <si>
    <t xml:space="preserve">L3 - AML Investigations</t>
  </si>
  <si>
    <t xml:space="preserve">Structuring pattern; high-risk jurisdiction flows with no rationale; unexplained pass-through.</t>
  </si>
  <si>
    <t xml:space="preserve">Refer for investigation and Suspicious Activity/Transaction Report decision. Do NOT tip off the client.</t>
  </si>
  <si>
    <t xml:space="preserve">GFCC AML Investigations</t>
  </si>
  <si>
    <t xml:space="preserve">Full transaction timeline, red-flag summary, KYC profile, prior alerts.</t>
  </si>
  <si>
    <t xml:space="preserve">Confidentiality reminder</t>
  </si>
  <si>
    <t xml:space="preserve">Escalations, STR/SAR decisions and investigation outcomes are confidential. Never disclose them to the client (tipping-off). Client-facing replies stay generic.</t>
  </si>
  <si>
    <t xml:space="preserve">Case ID</t>
  </si>
  <si>
    <t xml:space="preserve">Date Raised</t>
  </si>
  <si>
    <t xml:space="preserve">Trigger / Red Flag</t>
  </si>
  <si>
    <t xml:space="preserve">Analyst Risk Summary</t>
  </si>
  <si>
    <t xml:space="preserve">Escalation Level</t>
  </si>
  <si>
    <t xml:space="preserve">Escalated To</t>
  </si>
  <si>
    <t xml:space="preserve">Date Closed</t>
  </si>
  <si>
    <t xml:space="preserve">Status</t>
  </si>
  <si>
    <t xml:space="preserve">Business Days Open</t>
  </si>
  <si>
    <t xml:space="preserve">SLA Status</t>
  </si>
  <si>
    <t xml:space="preserve">System Alert Disposition</t>
  </si>
  <si>
    <t xml:space="preserve">Outcome / Decision</t>
  </si>
  <si>
    <t xml:space="preserve">ESC-001</t>
  </si>
  <si>
    <t xml:space="preserve">R1 - Structuring pattern</t>
  </si>
  <si>
    <t xml:space="preserve">Four cash deposits of $9,200-$9,800 (total $38,200) were made between 12 and 16 Oct, each just below the $10,000 CTR threshold. No single deposit triggered a CTR, but the clustering is consistent with possible structuring. Client is a low-risk retail business with a stated cash profile of $30,000 per month; no business reason for the pattern is documented. Referred for STR consideration. Client not contacted (tipping-off).</t>
  </si>
  <si>
    <t xml:space="preserve">Pending - STR/SAR decision by AML Investigations.</t>
  </si>
  <si>
    <t xml:space="preserve">ESC-002</t>
  </si>
  <si>
    <t xml:space="preserve">R3 - Wires to high-risk jurisdiction</t>
  </si>
  <si>
    <t xml:space="preserve">Two outbound wires totalling $105,000 (29 Sep $45,000; 6 Oct $60,000) were sent to a counterparty in Myanmar, a score-3 country in this model. Client is an import/export trader assigned a Low rating although the model calculates Medium. No trade documents on file link the payments to goods. Enhanced due diligence and rating correction required.</t>
  </si>
  <si>
    <t xml:space="preserve">Pending - trade documents requested via RM; rating correction raised.</t>
  </si>
  <si>
    <t xml:space="preserve">ESC-003</t>
  </si>
  <si>
    <t xml:space="preserve">R4 - PEP with high-value wires</t>
  </si>
  <si>
    <t xml:space="preserve">Client is a politically exposed person. Total wire activity of $240,000 in the window (inbound $150,000 from the UK on 1 Oct; outbound $90,000 to the Cayman Islands on 8 Oct) exceeds the $100,000 PEP review threshold. Policy requires documented source of wealth and senior-management approval.</t>
  </si>
  <si>
    <t xml:space="preserve">Closed - source-of-wealth evidence reviewed and consistent with profile; senior-management approval recorded; annual EDD review confirmed.</t>
  </si>
  <si>
    <t xml:space="preserve">ESC-004</t>
  </si>
  <si>
    <t xml:space="preserve">R5 - Pass-through pattern</t>
  </si>
  <si>
    <t xml:space="preserve">Inbound wire of $250,000 (2 Oct) was followed within three days by an outbound wire of $246,500 (5 Oct) to Panama - about 98.6% of funds moved out. Rapid movement with no holding period can indicate pass-through activity, so supporting trade documents were requested.</t>
  </si>
  <si>
    <t xml:space="preserve">Closed - invoices and shipping documents obtained; activity consistent with commodity trading cycle. Added to 90-day enhanced monitoring.</t>
  </si>
  <si>
    <t xml:space="preserve">ESC-005</t>
  </si>
  <si>
    <t xml:space="preserve">R6 - Sanctions screening potential match</t>
  </si>
  <si>
    <t xml:space="preserve">Name screening returned a potential match to a watchlist entry. Registered address and incorporation number differ from the listed entity, which points to a false positive, but the disposition is not yet documented. The client has an active account.</t>
  </si>
  <si>
    <t xml:space="preserve">Pending - registry extract requested to discount the match.</t>
  </si>
  <si>
    <t xml:space="preserve">ESC-006</t>
  </si>
  <si>
    <t xml:space="preserve">Late CTR + cash above profile + rating mismatch</t>
  </si>
  <si>
    <t xml:space="preserve">The $27,000 cash deposit on 8 Oct required a CTR by 23 Oct and has not been filed. Total cash of $85,000 in the window exceeds the stated profile of $20,000 per month. Assigned rating (Low) is below the model rating (Medium) for a jewellery business in the UAE.</t>
  </si>
  <si>
    <t xml:space="preserve">Pending - file CTR and document late-filing reason; rating review raised.</t>
  </si>
  <si>
    <t xml:space="preserve">ESC-007</t>
  </si>
  <si>
    <t xml:space="preserve">Active account with no KYC record</t>
  </si>
  <si>
    <t xml:space="preserve">Core banking shows an active account for C041 with a $7,800 cash deposit (9 Oct) and a $52,000 inbound wire (14 Oct), but there is no client record in the KYC system. Activity is taking place with no CIP/CDD on file.</t>
  </si>
  <si>
    <t xml:space="preserve">Pending - account restriction requested; KYC onboarding file to be traced.</t>
  </si>
  <si>
    <t xml:space="preserve">ESC-008</t>
  </si>
  <si>
    <t xml:space="preserve">Activity before KYC completion</t>
  </si>
  <si>
    <t xml:space="preserve">New client onboarded 1 Oct. Sanctions screening is not done and CIP and UBO documents are outstanding, yet a $40,000 inbound wire was received on 15 Oct.</t>
  </si>
  <si>
    <t xml:space="preserve">Pending - documents chased via RM; funds held pending completion.</t>
  </si>
  <si>
    <t xml:space="preserve">ESC-009</t>
  </si>
  <si>
    <t xml:space="preserve">Beneficial owner not identified</t>
  </si>
  <si>
    <t xml:space="preserve">KYC file shows the ultimate beneficial owner (UBO) is not identified while the account is active and transacting.</t>
  </si>
  <si>
    <t xml:space="preserve">Pending - UBO declaration requested via RM.</t>
  </si>
  <si>
    <t xml:space="preserve">ESC-010</t>
  </si>
  <si>
    <t xml:space="preserve">Duplicate client record</t>
  </si>
  <si>
    <t xml:space="preserve">Legal name on C031 is identical to C006 with different IDs. Risk of split history and missed monitoring.</t>
  </si>
  <si>
    <t xml:space="preserve">Pending - merge request raised to client data team.</t>
  </si>
  <si>
    <t xml:space="preserve">Legal Name (Core Banking)</t>
  </si>
  <si>
    <t xml:space="preserve">Account Status</t>
  </si>
  <si>
    <t xml:space="preserve">Active</t>
  </si>
  <si>
    <t xml:space="preserve">Lotus Healthcare Systems Limited</t>
  </si>
  <si>
    <t xml:space="preserve">Dormant</t>
  </si>
  <si>
    <t xml:space="preserve">Oakridge Holdings Inc</t>
  </si>
  <si>
    <t xml:space="preserve">Txn ID (Statement)</t>
  </si>
  <si>
    <t xml:space="preserve">Value Date</t>
  </si>
  <si>
    <t xml:space="preserve">T9901</t>
  </si>
  <si>
    <t xml:space="preserve">CRM Name</t>
  </si>
  <si>
    <t xml:space="preserve">Core Banking Name</t>
  </si>
  <si>
    <t xml:space="preserve">Name Check</t>
  </si>
  <si>
    <t xml:space="preserve">CRM Country</t>
  </si>
  <si>
    <t xml:space="preserve">Core Country</t>
  </si>
  <si>
    <t xml:space="preserve">Country Check</t>
  </si>
  <si>
    <t xml:space="preserve">CRM Risk Rating</t>
  </si>
  <si>
    <t xml:space="preserve">Core Risk Rating</t>
  </si>
  <si>
    <t xml:space="preserve">Core Account Status</t>
  </si>
  <si>
    <t xml:space="preserve">CRM File Status</t>
  </si>
  <si>
    <t xml:space="preserve">Overall Recon Status</t>
  </si>
  <si>
    <t xml:space="preserve">Control Flag</t>
  </si>
  <si>
    <t xml:space="preserve">Ledger Amount</t>
  </si>
  <si>
    <t xml:space="preserve">Statement Amount</t>
  </si>
  <si>
    <t xml:space="preserve"># Times in Statement</t>
  </si>
  <si>
    <t xml:space="preserve">Recon Status</t>
  </si>
  <si>
    <t xml:space="preserve">Difference (Ledger - Statement)</t>
  </si>
  <si>
    <t xml:space="preserve">Net Break Value</t>
  </si>
  <si>
    <t xml:space="preserve">Client (per ledger)</t>
  </si>
  <si>
    <t xml:space="preserve">Analyst Note</t>
  </si>
  <si>
    <t xml:space="preserve">Control-total proof</t>
  </si>
  <si>
    <t xml:space="preserve">Statement is 35.00 lower - bank charge netted off at source; ledger gross is correct.</t>
  </si>
  <si>
    <t xml:space="preserve">Ledger total (USD)</t>
  </si>
  <si>
    <t xml:space="preserve">Statement total (USD)</t>
  </si>
  <si>
    <t xml:space="preserve">Not on statement - value date likely next cycle; recheck.</t>
  </si>
  <si>
    <t xml:space="preserve">Net difference (Ledger - Statement)</t>
  </si>
  <si>
    <t xml:space="preserve">Sum of itemised breaks</t>
  </si>
  <si>
    <t xml:space="preserve">Unexplained difference</t>
  </si>
  <si>
    <t xml:space="preserve">Statement is 1,000 higher - keying error at bank; correction requested.</t>
  </si>
  <si>
    <t xml:space="preserve">Reconciliation result</t>
  </si>
  <si>
    <t xml:space="preserve">Not on statement - possible failed/returned wire; chase with payments team.</t>
  </si>
  <si>
    <t xml:space="preserve">Statement ~1% lower - FX rate difference; confirm rate with Treasury.</t>
  </si>
  <si>
    <t xml:space="preserve">Posted twice on statement - duplicate credit/debit; raise reversal.</t>
  </si>
  <si>
    <t xml:space="preserve">On statement but not in ledger - unrecorded cash deposit; identify client and book.</t>
  </si>
  <si>
    <t xml:space="preserve">Issue ID</t>
  </si>
  <si>
    <t xml:space="preserve">Source</t>
  </si>
  <si>
    <t xml:space="preserve">Issue Type</t>
  </si>
  <si>
    <t xml:space="preserve">Description</t>
  </si>
  <si>
    <t xml:space="preserve">Priority</t>
  </si>
  <si>
    <t xml:space="preserve">Date Opened</t>
  </si>
  <si>
    <t xml:space="preserve">Date Resolved</t>
  </si>
  <si>
    <t xml:space="preserve">Owner Team</t>
  </si>
  <si>
    <t xml:space="preserve">Resolution / Action Taken</t>
  </si>
  <si>
    <t xml:space="preserve">ISS-001</t>
  </si>
  <si>
    <t xml:space="preserve">Recon - name break</t>
  </si>
  <si>
    <t xml:space="preserve">Legal name mismatch</t>
  </si>
  <si>
    <t xml:space="preserve">Legal name differs between CRM and core banking (Ltd vs Limited). Client asked to confirm registry name.</t>
  </si>
  <si>
    <t xml:space="preserve">Client Data Ops</t>
  </si>
  <si>
    <t xml:space="preserve">Certificate of incorporation obtained; registry spelling confirmed. Core banking correction submitted - will clear on next extract.</t>
  </si>
  <si>
    <t xml:space="preserve">ISS-002</t>
  </si>
  <si>
    <t xml:space="preserve">Recon - country break</t>
  </si>
  <si>
    <t xml:space="preserve">Country of incorporation mismatch</t>
  </si>
  <si>
    <t xml:space="preserve">CRM shows Hong Kong; core banking shows Singapore. Account opening documents to be checked.</t>
  </si>
  <si>
    <t xml:space="preserve">Awaiting incorporation certificate via RM.</t>
  </si>
  <si>
    <t xml:space="preserve">ISS-003</t>
  </si>
  <si>
    <t xml:space="preserve">Recon - rating break</t>
  </si>
  <si>
    <t xml:space="preserve">Risk rating mismatch</t>
  </si>
  <si>
    <t xml:space="preserve">CRM Low vs core banking Medium.</t>
  </si>
  <si>
    <t xml:space="preserve">KYC Quality</t>
  </si>
  <si>
    <t xml:space="preserve">Re-scored using model; CRM rating confirmed. Correction submitted to core banking.</t>
  </si>
  <si>
    <t xml:space="preserve">ISS-004</t>
  </si>
  <si>
    <t xml:space="preserve">DQ check</t>
  </si>
  <si>
    <t xml:space="preserve">UBO documentation missing</t>
  </si>
  <si>
    <t xml:space="preserve">Beneficial owner not identified on file; account active.</t>
  </si>
  <si>
    <t xml:space="preserve">KYC Operations</t>
  </si>
  <si>
    <t xml:space="preserve">UBO declaration and ID requested via RM.</t>
  </si>
  <si>
    <t xml:space="preserve">ISS-005</t>
  </si>
  <si>
    <t xml:space="preserve">Source of funds not evidenced</t>
  </si>
  <si>
    <t xml:space="preserve">No source-of-funds evidence on file and industry field is blank.</t>
  </si>
  <si>
    <t xml:space="preserve">Two reminders sent via RM; escalated to team lead.</t>
  </si>
  <si>
    <t xml:space="preserve">ISS-006</t>
  </si>
  <si>
    <t xml:space="preserve">Address proof outdated</t>
  </si>
  <si>
    <t xml:space="preserve">Address proof missing from file.</t>
  </si>
  <si>
    <t xml:space="preserve">Recent utility bill requested.</t>
  </si>
  <si>
    <t xml:space="preserve">ISS-007</t>
  </si>
  <si>
    <t xml:space="preserve">New client documents outstanding</t>
  </si>
  <si>
    <t xml:space="preserve">CIP and UBO documents outstanding; sanctions screening not done.</t>
  </si>
  <si>
    <t xml:space="preserve">Documents chased; see ESC-008.</t>
  </si>
  <si>
    <t xml:space="preserve">ISS-008</t>
  </si>
  <si>
    <t xml:space="preserve">Client query</t>
  </si>
  <si>
    <t xml:space="preserve">CTR clarification</t>
  </si>
  <si>
    <t xml:space="preserve">Client asked why its cash deposit was reported.</t>
  </si>
  <si>
    <t xml:space="preserve">Client Service</t>
  </si>
  <si>
    <t xml:space="preserve">Explained that CTRs are a routine regulatory requirement for cash above the threshold and not an indication of wrongdoing. No internal assessments disclosed.</t>
  </si>
  <si>
    <t xml:space="preserve">ISS-009</t>
  </si>
  <si>
    <t xml:space="preserve">Recon - missing in core</t>
  </si>
  <si>
    <t xml:space="preserve">No core banking account</t>
  </si>
  <si>
    <t xml:space="preserve">Client onboarded in CRM but no account exists in core banking.</t>
  </si>
  <si>
    <t xml:space="preserve">RM to confirm whether account opening was cancelled.</t>
  </si>
  <si>
    <t xml:space="preserve">ISS-010</t>
  </si>
  <si>
    <t xml:space="preserve">Date logic error</t>
  </si>
  <si>
    <t xml:space="preserve">Last KYC review date is earlier than onboarding date.</t>
  </si>
  <si>
    <t xml:space="preserve">Source documents requested to confirm the correct dates.</t>
  </si>
  <si>
    <t xml:space="preserve">ISS-011</t>
  </si>
  <si>
    <t xml:space="preserve">Same legal name as C006 under a different ID.</t>
  </si>
  <si>
    <t xml:space="preserve">Merge request raised; see ESC-010.</t>
  </si>
  <si>
    <t xml:space="preserve">ISS-012</t>
  </si>
  <si>
    <t xml:space="preserve">Recon - txn break</t>
  </si>
  <si>
    <t xml:space="preserve">Statement discrepancy query</t>
  </si>
  <si>
    <t xml:space="preserve">Client queried the amount shown on its statement against its records.</t>
  </si>
  <si>
    <t xml:space="preserve">Operations</t>
  </si>
  <si>
    <t xml:space="preserve">Ledger confirmed correct; bank statement difference traced and correction requested (see Recon_Txn).</t>
  </si>
  <si>
    <t xml:space="preserve">ISS-013</t>
  </si>
  <si>
    <t xml:space="preserve">Expired ID document</t>
  </si>
  <si>
    <t xml:space="preserve">Authorised signatory passport expired.</t>
  </si>
  <si>
    <t xml:space="preserve">Renewed passport received, verified and filed.</t>
  </si>
  <si>
    <t xml:space="preserve">ISS-014</t>
  </si>
  <si>
    <t xml:space="preserve">Periodic review</t>
  </si>
  <si>
    <t xml:space="preserve">KYC refresh overdue</t>
  </si>
  <si>
    <t xml:space="preserve">Periodic review is overdue; refresh documents requested.</t>
  </si>
  <si>
    <t xml:space="preserve">Refresh pack sent to client via RM.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</si>
</sst>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%"/>
    <numFmt numFmtId="167" formatCode="#,##0"/>
    <numFmt numFmtId="168" formatCode="#,##0.00"/>
    <numFmt numFmtId="169" formatCode="dd\-mmm\-yyyy"/>
    <numFmt numFmtId="170" formatCode="0.0"/>
    <numFmt numFmtId="171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rgb="FFFFFFFF"/>
      </patternFill>
    </fill>
    <fill>
      <patternFill patternType="solid">
        <fgColor rgb="FF595959"/>
        <bgColor rgb="FF7F7F7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Clients by assigned risk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Dashboard!$A$17:$A$19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Dashboard!$B$17:$B$19</c:f>
              <c:numCache>
                <c:formatCode>0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31</c:v>
                </c:pt>
              </c:numCache>
            </c:numRef>
          </c:val>
        </c:ser>
        <c:gapWidth val="150"/>
        <c:overlap val="0"/>
        <c:axId val="54396851"/>
        <c:axId val="85932471"/>
      </c:barChart>
      <c:catAx>
        <c:axId val="54396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32471"/>
        <c:crosses val="autoZero"/>
        <c:auto val="1"/>
        <c:lblAlgn val="ctr"/>
        <c:lblOffset val="100"/>
        <c:noMultiLvlLbl val="0"/>
      </c:catAx>
      <c:valAx>
        <c:axId val="85932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96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reconciliation breaks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Dashboard!$A$47:$A$50</c:f>
              <c:strCache>
                <c:ptCount val="4"/>
                <c:pt idx="0">
                  <c:v>Txn recon: Amount Break</c:v>
                </c:pt>
                <c:pt idx="1">
                  <c:v>Txn recon: Missing in Statement</c:v>
                </c:pt>
                <c:pt idx="2">
                  <c:v>Txn recon: Missing in Ledger</c:v>
                </c:pt>
                <c:pt idx="3">
                  <c:v>Txn recon: Duplicate in Statement</c:v>
                </c:pt>
              </c:strCache>
            </c:strRef>
          </c:cat>
          <c:val>
            <c:numRef>
              <c:f>Dashboard!$B$47:$B$50</c:f>
              <c:numCache>
                <c:formatCode>0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90418254"/>
        <c:axId val="65446757"/>
      </c:barChart>
      <c:catAx>
        <c:axId val="90418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46757"/>
        <c:crosses val="autoZero"/>
        <c:auto val="1"/>
        <c:lblAlgn val="ctr"/>
        <c:lblOffset val="100"/>
        <c:noMultiLvlLbl val="0"/>
      </c:catAx>
      <c:valAx>
        <c:axId val="65446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18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Monitoring dispositions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Dashboard!$A$31:$A$33</c:f>
              <c:strCache>
                <c:ptCount val="3"/>
                <c:pt idx="0">
                  <c:v>Disposition: ESCALATE</c:v>
                </c:pt>
                <c:pt idx="1">
                  <c:v>Disposition: Analyst Review</c:v>
                </c:pt>
                <c:pt idx="2">
                  <c:v>Disposition: No Action</c:v>
                </c:pt>
              </c:strCache>
            </c:strRef>
          </c:cat>
          <c:val>
            <c:numRef>
              <c:f>Dashboard!$B$31:$B$33</c:f>
              <c:numCache>
                <c:formatCode>0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34</c:v>
                </c:pt>
              </c:numCache>
            </c:numRef>
          </c:val>
        </c:ser>
        <c:gapWidth val="150"/>
        <c:overlap val="0"/>
        <c:axId val="88318748"/>
        <c:axId val="69677325"/>
      </c:barChart>
      <c:catAx>
        <c:axId val="88318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77325"/>
        <c:crosses val="autoZero"/>
        <c:auto val="1"/>
        <c:lblAlgn val="ctr"/>
        <c:lblOffset val="100"/>
        <c:noMultiLvlLbl val="0"/>
      </c:catAx>
      <c:valAx>
        <c:axId val="69677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18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11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47224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130680</xdr:rowOff>
    </xdr:from>
    <xdr:to>
      <xdr:col>11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47224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34</xdr:row>
      <xdr:rowOff>131040</xdr:rowOff>
    </xdr:from>
    <xdr:to>
      <xdr:col>11</xdr:col>
      <xdr:colOff>507600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472248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43.5" hidden="false" customHeight="true" outlineLevel="0" collapsed="false">
      <c r="A5" s="5" t="s">
        <v>3</v>
      </c>
      <c r="B5" s="5"/>
    </row>
    <row r="7" customFormat="false" ht="15" hidden="false" customHeight="false" outlineLevel="0" collapsed="false">
      <c r="A7" s="3" t="s">
        <v>4</v>
      </c>
      <c r="B7" s="4"/>
    </row>
    <row r="8" customFormat="false" ht="43.5" hidden="false" customHeight="true" outlineLevel="0" collapsed="false">
      <c r="A8" s="5" t="s">
        <v>5</v>
      </c>
      <c r="B8" s="5"/>
    </row>
    <row r="10" customFormat="false" ht="15" hidden="false" customHeight="false" outlineLevel="0" collapsed="false">
      <c r="A10" s="3" t="s">
        <v>6</v>
      </c>
      <c r="B10" s="4"/>
    </row>
    <row r="11" customFormat="false" ht="15" hidden="false" customHeight="false" outlineLevel="0" collapsed="false">
      <c r="A11" s="6" t="s">
        <v>7</v>
      </c>
      <c r="B11" s="7" t="s">
        <v>8</v>
      </c>
    </row>
    <row r="12" customFormat="false" ht="15" hidden="false" customHeight="false" outlineLevel="0" collapsed="false">
      <c r="A12" s="6" t="s">
        <v>9</v>
      </c>
      <c r="B12" s="7" t="s">
        <v>10</v>
      </c>
    </row>
    <row r="13" customFormat="false" ht="27.75" hidden="false" customHeight="true" outlineLevel="0" collapsed="false">
      <c r="A13" s="6" t="s">
        <v>11</v>
      </c>
      <c r="B13" s="7" t="s">
        <v>12</v>
      </c>
    </row>
    <row r="14" customFormat="false" ht="15" hidden="false" customHeight="false" outlineLevel="0" collapsed="false">
      <c r="A14" s="6" t="s">
        <v>13</v>
      </c>
      <c r="B14" s="7" t="s">
        <v>14</v>
      </c>
    </row>
    <row r="15" customFormat="false" ht="15" hidden="false" customHeight="false" outlineLevel="0" collapsed="false">
      <c r="A15" s="6" t="s">
        <v>15</v>
      </c>
      <c r="B15" s="7" t="s">
        <v>16</v>
      </c>
    </row>
    <row r="16" customFormat="false" ht="15" hidden="false" customHeight="false" outlineLevel="0" collapsed="false">
      <c r="A16" s="6" t="s">
        <v>17</v>
      </c>
      <c r="B16" s="7" t="s">
        <v>18</v>
      </c>
    </row>
    <row r="17" customFormat="false" ht="15" hidden="false" customHeight="false" outlineLevel="0" collapsed="false">
      <c r="A17" s="6" t="s">
        <v>19</v>
      </c>
      <c r="B17" s="7" t="s">
        <v>20</v>
      </c>
    </row>
    <row r="18" customFormat="false" ht="15" hidden="false" customHeight="false" outlineLevel="0" collapsed="false">
      <c r="A18" s="6" t="s">
        <v>21</v>
      </c>
      <c r="B18" s="7" t="s">
        <v>22</v>
      </c>
    </row>
    <row r="19" customFormat="false" ht="15" hidden="false" customHeight="false" outlineLevel="0" collapsed="false">
      <c r="A19" s="6" t="s">
        <v>23</v>
      </c>
      <c r="B19" s="7" t="s">
        <v>24</v>
      </c>
    </row>
    <row r="20" customFormat="false" ht="15" hidden="false" customHeight="false" outlineLevel="0" collapsed="false">
      <c r="A20" s="6" t="s">
        <v>25</v>
      </c>
      <c r="B20" s="7" t="s">
        <v>26</v>
      </c>
    </row>
    <row r="21" customFormat="false" ht="15" hidden="false" customHeight="false" outlineLevel="0" collapsed="false">
      <c r="A21" s="6" t="s">
        <v>27</v>
      </c>
      <c r="B21" s="7" t="s">
        <v>28</v>
      </c>
    </row>
    <row r="22" customFormat="false" ht="15" hidden="false" customHeight="false" outlineLevel="0" collapsed="false">
      <c r="A22" s="6" t="s">
        <v>29</v>
      </c>
      <c r="B22" s="7" t="s">
        <v>30</v>
      </c>
    </row>
    <row r="24" customFormat="false" ht="15" hidden="false" customHeight="false" outlineLevel="0" collapsed="false">
      <c r="A24" s="3" t="s">
        <v>31</v>
      </c>
      <c r="B24" s="4"/>
    </row>
    <row r="25" customFormat="false" ht="15" hidden="false" customHeight="false" outlineLevel="0" collapsed="false">
      <c r="A25" s="6" t="s">
        <v>32</v>
      </c>
      <c r="B25" s="7" t="s">
        <v>33</v>
      </c>
    </row>
    <row r="26" customFormat="false" ht="15" hidden="false" customHeight="false" outlineLevel="0" collapsed="false">
      <c r="A26" s="6" t="s">
        <v>34</v>
      </c>
      <c r="B26" s="7" t="s">
        <v>35</v>
      </c>
    </row>
    <row r="27" customFormat="false" ht="15" hidden="false" customHeight="false" outlineLevel="0" collapsed="false">
      <c r="A27" s="6" t="s">
        <v>36</v>
      </c>
      <c r="B27" s="7" t="s">
        <v>37</v>
      </c>
    </row>
    <row r="29" customFormat="false" ht="15" hidden="false" customHeight="false" outlineLevel="0" collapsed="false">
      <c r="A29" s="3" t="s">
        <v>38</v>
      </c>
      <c r="B29" s="4"/>
    </row>
    <row r="30" customFormat="false" ht="27.75" hidden="false" customHeight="true" outlineLevel="0" collapsed="false">
      <c r="A30" s="6" t="s">
        <v>39</v>
      </c>
      <c r="B30" s="7" t="s">
        <v>40</v>
      </c>
    </row>
    <row r="31" customFormat="false" ht="15" hidden="false" customHeight="false" outlineLevel="0" collapsed="false">
      <c r="A31" s="6" t="s">
        <v>41</v>
      </c>
      <c r="B31" s="7" t="s">
        <v>42</v>
      </c>
    </row>
    <row r="32" customFormat="false" ht="15" hidden="false" customHeight="false" outlineLevel="0" collapsed="false">
      <c r="A32" s="6" t="s">
        <v>43</v>
      </c>
      <c r="B32" s="7" t="s">
        <v>44</v>
      </c>
    </row>
    <row r="33" customFormat="false" ht="15" hidden="false" customHeight="false" outlineLevel="0" collapsed="false">
      <c r="A33" s="6" t="s">
        <v>45</v>
      </c>
      <c r="B33" s="7" t="s">
        <v>46</v>
      </c>
    </row>
    <row r="34" customFormat="false" ht="15" hidden="false" customHeight="false" outlineLevel="0" collapsed="false">
      <c r="A34" s="6" t="s">
        <v>47</v>
      </c>
      <c r="B34" s="7" t="s">
        <v>48</v>
      </c>
    </row>
    <row r="35" customFormat="false" ht="27.75" hidden="false" customHeight="true" outlineLevel="0" collapsed="false">
      <c r="A35" s="6" t="s">
        <v>49</v>
      </c>
      <c r="B35" s="7" t="s">
        <v>50</v>
      </c>
    </row>
    <row r="37" customFormat="false" ht="15" hidden="false" customHeight="false" outlineLevel="0" collapsed="false">
      <c r="A37" s="3" t="s">
        <v>51</v>
      </c>
      <c r="B37" s="4"/>
    </row>
    <row r="38" customFormat="false" ht="15" hidden="false" customHeight="false" outlineLevel="0" collapsed="false">
      <c r="A38" s="6" t="s">
        <v>52</v>
      </c>
      <c r="B38" s="7" t="s">
        <v>53</v>
      </c>
    </row>
    <row r="39" customFormat="false" ht="15" hidden="false" customHeight="false" outlineLevel="0" collapsed="false">
      <c r="A39" s="6" t="s">
        <v>54</v>
      </c>
      <c r="B39" s="7" t="s">
        <v>55</v>
      </c>
    </row>
    <row r="40" customFormat="false" ht="15" hidden="false" customHeight="false" outlineLevel="0" collapsed="false">
      <c r="A40" s="6" t="s">
        <v>56</v>
      </c>
      <c r="B40" s="7" t="s">
        <v>57</v>
      </c>
    </row>
  </sheetData>
  <mergeCells count="2"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3"/>
  </cols>
  <sheetData>
    <row r="1" customFormat="false" ht="19.7" hidden="false" customHeight="false" outlineLevel="0" collapsed="false">
      <c r="A1" s="8" t="s">
        <v>58</v>
      </c>
    </row>
    <row r="2" customFormat="false" ht="15" hidden="false" customHeight="false" outlineLevel="0" collapsed="false">
      <c r="A2" s="2" t="str">
        <f aca="false">"As of "&amp;TEXT(Assumptions!B4,"dd-mmm-yyyy")&amp;"  |  Synthetic data - for portfolio demonstration only"</f>
        <v>As of 26-Oct-2026  |  Synthetic data - for portfolio demonstration only</v>
      </c>
    </row>
    <row r="4" customFormat="false" ht="15" hidden="false" customHeight="false" outlineLevel="0" collapsed="false">
      <c r="A4" s="3" t="s">
        <v>59</v>
      </c>
      <c r="B4" s="4"/>
    </row>
    <row r="5" customFormat="false" ht="15" hidden="false" customHeight="false" outlineLevel="0" collapsed="false">
      <c r="A5" s="9" t="s">
        <v>60</v>
      </c>
      <c r="B5" s="10" t="n">
        <f aca="false">COUNTA(Client_Master!A2:A41)</f>
        <v>40</v>
      </c>
    </row>
    <row r="6" customFormat="false" ht="15" hidden="false" customHeight="false" outlineLevel="0" collapsed="false">
      <c r="A6" s="9" t="s">
        <v>61</v>
      </c>
      <c r="B6" s="10" t="n">
        <f aca="false">COUNTIF(Client_Master!R2:R41,"Complete")</f>
        <v>35</v>
      </c>
    </row>
    <row r="7" customFormat="false" ht="15" hidden="false" customHeight="false" outlineLevel="0" collapsed="false">
      <c r="A7" s="9" t="s">
        <v>62</v>
      </c>
      <c r="B7" s="11" t="n">
        <f aca="false">B6/B5</f>
        <v>0.875</v>
      </c>
    </row>
    <row r="8" customFormat="false" ht="15" hidden="false" customHeight="false" outlineLevel="0" collapsed="false">
      <c r="A8" s="9" t="s">
        <v>63</v>
      </c>
      <c r="B8" s="10" t="n">
        <f aca="false">COUNTIF(Client_Master!P2:P41,"&gt;0")</f>
        <v>4</v>
      </c>
    </row>
    <row r="9" customFormat="false" ht="15" hidden="false" customHeight="false" outlineLevel="0" collapsed="false">
      <c r="A9" s="9" t="s">
        <v>64</v>
      </c>
      <c r="B9" s="10" t="n">
        <f aca="false">COUNTIF(Client_Master!AA2:AA41,"Overdue")</f>
        <v>6</v>
      </c>
    </row>
    <row r="10" customFormat="false" ht="15" hidden="false" customHeight="false" outlineLevel="0" collapsed="false">
      <c r="A10" s="9" t="s">
        <v>65</v>
      </c>
      <c r="B10" s="10" t="n">
        <f aca="false">COUNTIF(Client_Master!AA2:AA41,"Due within 60 days")</f>
        <v>2</v>
      </c>
    </row>
    <row r="11" customFormat="false" ht="15" hidden="false" customHeight="false" outlineLevel="0" collapsed="false">
      <c r="A11" s="9" t="s">
        <v>66</v>
      </c>
      <c r="B11" s="10" t="n">
        <f aca="false">COUNTIF(Client_Master!X2:X41,"Under-rated")+COUNTIF(Client_Master!X2:X41,"Over-rated")</f>
        <v>4</v>
      </c>
    </row>
    <row r="12" customFormat="false" ht="15" hidden="false" customHeight="false" outlineLevel="0" collapsed="false">
      <c r="A12" s="9" t="s">
        <v>67</v>
      </c>
      <c r="B12" s="10" t="n">
        <f aca="false">COUNTIF(Client_Master!N2:N41,"Y")</f>
        <v>2</v>
      </c>
    </row>
    <row r="13" customFormat="false" ht="15" hidden="false" customHeight="false" outlineLevel="0" collapsed="false">
      <c r="A13" s="9" t="s">
        <v>68</v>
      </c>
      <c r="B13" s="10" t="n">
        <f aca="false">COUNTIF(Client_Master!AE2:AE41,"&gt;0")</f>
        <v>16</v>
      </c>
    </row>
    <row r="14" customFormat="false" ht="15" hidden="false" customHeight="false" outlineLevel="0" collapsed="false">
      <c r="A14" s="9" t="s">
        <v>69</v>
      </c>
      <c r="B14" s="10" t="n">
        <f aca="false">COUNTIF(Transactions!O2:O114,"&lt;&gt;Complete")</f>
        <v>14</v>
      </c>
    </row>
    <row r="16" customFormat="false" ht="15" hidden="false" customHeight="false" outlineLevel="0" collapsed="false">
      <c r="A16" s="3" t="s">
        <v>70</v>
      </c>
      <c r="B16" s="4"/>
    </row>
    <row r="17" customFormat="false" ht="15" hidden="false" customHeight="false" outlineLevel="0" collapsed="false">
      <c r="A17" s="9" t="s">
        <v>71</v>
      </c>
      <c r="B17" s="10" t="n">
        <f aca="false">COUNTIF(Client_Master!H2:H41,"High")</f>
        <v>2</v>
      </c>
    </row>
    <row r="18" customFormat="false" ht="15" hidden="false" customHeight="false" outlineLevel="0" collapsed="false">
      <c r="A18" s="9" t="s">
        <v>72</v>
      </c>
      <c r="B18" s="10" t="n">
        <f aca="false">COUNTIF(Client_Master!H2:H41,"Medium")</f>
        <v>7</v>
      </c>
    </row>
    <row r="19" customFormat="false" ht="15" hidden="false" customHeight="false" outlineLevel="0" collapsed="false">
      <c r="A19" s="9" t="s">
        <v>73</v>
      </c>
      <c r="B19" s="10" t="n">
        <f aca="false">COUNTIF(Client_Master!H2:H41,"Low")</f>
        <v>31</v>
      </c>
    </row>
    <row r="21" customFormat="false" ht="15" hidden="false" customHeight="false" outlineLevel="0" collapsed="false">
      <c r="A21" s="3" t="s">
        <v>74</v>
      </c>
      <c r="B21" s="4"/>
    </row>
    <row r="22" customFormat="false" ht="15" hidden="false" customHeight="false" outlineLevel="0" collapsed="false">
      <c r="A22" s="9" t="s">
        <v>75</v>
      </c>
      <c r="B22" s="10" t="n">
        <f aca="false">COUNTIF(CTR_Log!F2:F21,"YES")</f>
        <v>5</v>
      </c>
    </row>
    <row r="23" customFormat="false" ht="15" hidden="false" customHeight="false" outlineLevel="0" collapsed="false">
      <c r="A23" s="9" t="s">
        <v>76</v>
      </c>
      <c r="B23" s="12" t="n">
        <f aca="false">SUMIFS(CTR_Log!D2:D21,CTR_Log!F2:F21,"YES")+SUMIFS(CTR_Log!E2:E21,CTR_Log!F2:F21,"YES")</f>
        <v>110800</v>
      </c>
    </row>
    <row r="24" customFormat="false" ht="15" hidden="false" customHeight="false" outlineLevel="0" collapsed="false">
      <c r="A24" s="9" t="s">
        <v>77</v>
      </c>
      <c r="B24" s="10" t="n">
        <f aca="false">COUNTIF(CTR_Log!L2:L21,"On time")</f>
        <v>3</v>
      </c>
    </row>
    <row r="25" customFormat="false" ht="15" hidden="false" customHeight="false" outlineLevel="0" collapsed="false">
      <c r="A25" s="9" t="s">
        <v>78</v>
      </c>
      <c r="B25" s="10" t="n">
        <f aca="false">COUNTIF(CTR_Log!L2:L21,"Pending*")</f>
        <v>1</v>
      </c>
    </row>
    <row r="26" customFormat="false" ht="15" hidden="false" customHeight="false" outlineLevel="0" collapsed="false">
      <c r="A26" s="9" t="s">
        <v>79</v>
      </c>
      <c r="B26" s="10" t="n">
        <f aca="false">COUNTIF(CTR_Log!L2:L21,"LATE*")+COUNTIF(CTR_Log!L2:L21,"Late")</f>
        <v>1</v>
      </c>
    </row>
    <row r="27" customFormat="false" ht="15" hidden="false" customHeight="false" outlineLevel="0" collapsed="false">
      <c r="A27" s="9" t="s">
        <v>80</v>
      </c>
      <c r="B27" s="10" t="n">
        <f aca="false">COUNTIF(Transactions!K2:K114,"Y")</f>
        <v>4</v>
      </c>
    </row>
    <row r="29" customFormat="false" ht="15" hidden="false" customHeight="false" outlineLevel="0" collapsed="false">
      <c r="A29" s="3" t="s">
        <v>81</v>
      </c>
      <c r="B29" s="4"/>
    </row>
    <row r="30" customFormat="false" ht="15" hidden="false" customHeight="false" outlineLevel="0" collapsed="false">
      <c r="A30" s="9" t="s">
        <v>82</v>
      </c>
      <c r="B30" s="10" t="n">
        <f aca="false">COUNTA(Alert_Monitoring!A2:A41)</f>
        <v>40</v>
      </c>
    </row>
    <row r="31" customFormat="false" ht="15" hidden="false" customHeight="false" outlineLevel="0" collapsed="false">
      <c r="A31" s="9" t="s">
        <v>83</v>
      </c>
      <c r="B31" s="10" t="n">
        <f aca="false">COUNTIF(Alert_Monitoring!R2:R41,"ESCALATE")</f>
        <v>4</v>
      </c>
    </row>
    <row r="32" customFormat="false" ht="15" hidden="false" customHeight="false" outlineLevel="0" collapsed="false">
      <c r="A32" s="9" t="s">
        <v>84</v>
      </c>
      <c r="B32" s="10" t="n">
        <f aca="false">COUNTIF(Alert_Monitoring!R2:R41,"Analyst Review")</f>
        <v>2</v>
      </c>
    </row>
    <row r="33" customFormat="false" ht="15" hidden="false" customHeight="false" outlineLevel="0" collapsed="false">
      <c r="A33" s="9" t="s">
        <v>85</v>
      </c>
      <c r="B33" s="10" t="n">
        <f aca="false">COUNTIF(Alert_Monitoring!R2:R41,"No Action")</f>
        <v>34</v>
      </c>
    </row>
    <row r="35" customFormat="false" ht="15" hidden="false" customHeight="false" outlineLevel="0" collapsed="false">
      <c r="A35" s="3" t="s">
        <v>86</v>
      </c>
      <c r="B35" s="4"/>
    </row>
    <row r="36" customFormat="false" ht="15" hidden="false" customHeight="false" outlineLevel="0" collapsed="false">
      <c r="A36" s="9" t="s">
        <v>87</v>
      </c>
      <c r="B36" s="10" t="n">
        <f aca="false">COUNTA(Escalation_Log!A2:A11)</f>
        <v>10</v>
      </c>
    </row>
    <row r="37" customFormat="false" ht="15" hidden="false" customHeight="false" outlineLevel="0" collapsed="false">
      <c r="A37" s="9" t="s">
        <v>88</v>
      </c>
      <c r="B37" s="10" t="n">
        <f aca="false">COUNTIF(Escalation_Log!K2:K11,"Open")</f>
        <v>8</v>
      </c>
    </row>
    <row r="38" customFormat="false" ht="15" hidden="false" customHeight="false" outlineLevel="0" collapsed="false">
      <c r="A38" s="9" t="s">
        <v>89</v>
      </c>
      <c r="B38" s="10" t="n">
        <f aca="false">COUNTIF(Escalation_Log!K2:K11,"Closed")</f>
        <v>2</v>
      </c>
    </row>
    <row r="39" customFormat="false" ht="15" hidden="false" customHeight="false" outlineLevel="0" collapsed="false">
      <c r="A39" s="9" t="s">
        <v>90</v>
      </c>
      <c r="B39" s="10" t="n">
        <f aca="false">COUNTIF(Escalation_Log!M2:M11,"SLA Breached")</f>
        <v>1</v>
      </c>
    </row>
    <row r="41" customFormat="false" ht="15" hidden="false" customHeight="false" outlineLevel="0" collapsed="false">
      <c r="A41" s="3" t="s">
        <v>91</v>
      </c>
      <c r="B41" s="4"/>
    </row>
    <row r="42" customFormat="false" ht="15" hidden="false" customHeight="false" outlineLevel="0" collapsed="false">
      <c r="A42" s="9" t="s">
        <v>92</v>
      </c>
      <c r="B42" s="10" t="n">
        <f aca="false">COUNTIF(Recon_Client!M2:M42,"Reconciled")</f>
        <v>35</v>
      </c>
    </row>
    <row r="43" customFormat="false" ht="15" hidden="false" customHeight="false" outlineLevel="0" collapsed="false">
      <c r="A43" s="9" t="s">
        <v>93</v>
      </c>
      <c r="B43" s="10" t="n">
        <f aca="false">COUNTIF(Recon_Client!M2:M42,"Break*")</f>
        <v>4</v>
      </c>
    </row>
    <row r="44" customFormat="false" ht="15" hidden="false" customHeight="false" outlineLevel="0" collapsed="false">
      <c r="A44" s="9" t="s">
        <v>94</v>
      </c>
      <c r="B44" s="10" t="n">
        <f aca="false">COUNTIF(Recon_Client!M2:M42,"Missing*")</f>
        <v>2</v>
      </c>
    </row>
    <row r="45" customFormat="false" ht="15" hidden="false" customHeight="false" outlineLevel="0" collapsed="false">
      <c r="A45" s="9" t="s">
        <v>95</v>
      </c>
      <c r="B45" s="10" t="n">
        <f aca="false">COUNTIF(Recon_Client!N2:N42,"Active*")</f>
        <v>6</v>
      </c>
    </row>
    <row r="46" customFormat="false" ht="15" hidden="false" customHeight="false" outlineLevel="0" collapsed="false">
      <c r="A46" s="9" t="s">
        <v>96</v>
      </c>
      <c r="B46" s="10" t="n">
        <f aca="false">COUNTIF(Recon_Txn!E2:E115,"Matched")</f>
        <v>107</v>
      </c>
    </row>
    <row r="47" customFormat="false" ht="15" hidden="false" customHeight="false" outlineLevel="0" collapsed="false">
      <c r="A47" s="9" t="s">
        <v>97</v>
      </c>
      <c r="B47" s="10" t="n">
        <f aca="false">COUNTIF(Recon_Txn!E2:E115,"Amount Break")</f>
        <v>3</v>
      </c>
    </row>
    <row r="48" customFormat="false" ht="15" hidden="false" customHeight="false" outlineLevel="0" collapsed="false">
      <c r="A48" s="9" t="s">
        <v>98</v>
      </c>
      <c r="B48" s="10" t="n">
        <f aca="false">COUNTIF(Recon_Txn!E2:E115,"Missing in Statement")</f>
        <v>2</v>
      </c>
    </row>
    <row r="49" customFormat="false" ht="15" hidden="false" customHeight="false" outlineLevel="0" collapsed="false">
      <c r="A49" s="9" t="s">
        <v>99</v>
      </c>
      <c r="B49" s="10" t="n">
        <f aca="false">COUNTIF(Recon_Txn!E2:E115,"Missing in Ledger")</f>
        <v>1</v>
      </c>
    </row>
    <row r="50" customFormat="false" ht="15" hidden="false" customHeight="false" outlineLevel="0" collapsed="false">
      <c r="A50" s="9" t="s">
        <v>100</v>
      </c>
      <c r="B50" s="10" t="n">
        <f aca="false">COUNTIF(Recon_Txn!E2:E115,"Duplicate in Statement")</f>
        <v>1</v>
      </c>
    </row>
    <row r="51" customFormat="false" ht="15" hidden="false" customHeight="false" outlineLevel="0" collapsed="false">
      <c r="A51" s="9" t="s">
        <v>101</v>
      </c>
      <c r="B51" s="13" t="n">
        <f aca="false">Recon_Txn!L6</f>
        <v>0</v>
      </c>
    </row>
    <row r="53" customFormat="false" ht="15" hidden="false" customHeight="false" outlineLevel="0" collapsed="false">
      <c r="A53" s="3" t="s">
        <v>102</v>
      </c>
      <c r="B53" s="4"/>
    </row>
    <row r="54" customFormat="false" ht="15" hidden="false" customHeight="false" outlineLevel="0" collapsed="false">
      <c r="A54" s="9" t="s">
        <v>103</v>
      </c>
      <c r="B54" s="10" t="n">
        <f aca="false">COUNTA(Customer_Issues!A2:A15)</f>
        <v>14</v>
      </c>
    </row>
    <row r="55" customFormat="false" ht="15" hidden="false" customHeight="false" outlineLevel="0" collapsed="false">
      <c r="A55" s="9" t="s">
        <v>104</v>
      </c>
      <c r="B55" s="10" t="n">
        <f aca="false">COUNTIF(Customer_Issues!K2:K15,"Open")</f>
        <v>9</v>
      </c>
    </row>
    <row r="56" customFormat="false" ht="15" hidden="false" customHeight="false" outlineLevel="0" collapsed="false">
      <c r="A56" s="9" t="s">
        <v>105</v>
      </c>
      <c r="B56" s="11" t="n">
        <f aca="false">COUNTIF(Customer_Issues!N2:N15,"Within SLA")/COUNTA(Customer_Issues!A2:A15)</f>
        <v>0.785714285714286</v>
      </c>
    </row>
    <row r="57" customFormat="false" ht="15" hidden="false" customHeight="false" outlineLevel="0" collapsed="false">
      <c r="A57" s="9" t="s">
        <v>90</v>
      </c>
      <c r="B57" s="10" t="n">
        <f aca="false">COUNTIF(Customer_Issues!N2:N15,"SLA Breached")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3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2" min="11" style="0" width="14"/>
    <col collapsed="false" customWidth="true" hidden="false" outlineLevel="0" max="13" min="13" style="0" width="3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4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15" t="s">
        <v>108</v>
      </c>
      <c r="B3" s="15" t="s">
        <v>109</v>
      </c>
      <c r="C3" s="15" t="s">
        <v>110</v>
      </c>
    </row>
    <row r="4" customFormat="false" ht="15" hidden="false" customHeight="false" outlineLevel="0" collapsed="false">
      <c r="A4" s="9" t="s">
        <v>111</v>
      </c>
      <c r="B4" s="16" t="n">
        <v>46321</v>
      </c>
      <c r="C4" s="17" t="s">
        <v>112</v>
      </c>
    </row>
    <row r="5" customFormat="false" ht="23.85" hidden="false" customHeight="false" outlineLevel="0" collapsed="false">
      <c r="A5" s="9" t="s">
        <v>113</v>
      </c>
      <c r="B5" s="18" t="n">
        <v>10000</v>
      </c>
      <c r="C5" s="17" t="s">
        <v>114</v>
      </c>
    </row>
    <row r="6" customFormat="false" ht="15" hidden="false" customHeight="false" outlineLevel="0" collapsed="false">
      <c r="A6" s="9" t="s">
        <v>115</v>
      </c>
      <c r="B6" s="18" t="n">
        <v>8000</v>
      </c>
      <c r="C6" s="17" t="s">
        <v>116</v>
      </c>
    </row>
    <row r="7" customFormat="false" ht="15" hidden="false" customHeight="false" outlineLevel="0" collapsed="false">
      <c r="A7" s="9" t="s">
        <v>117</v>
      </c>
      <c r="B7" s="19" t="n">
        <v>3</v>
      </c>
      <c r="C7" s="17" t="s">
        <v>118</v>
      </c>
    </row>
    <row r="8" customFormat="false" ht="15" hidden="false" customHeight="false" outlineLevel="0" collapsed="false">
      <c r="A8" s="9" t="s">
        <v>119</v>
      </c>
      <c r="B8" s="20" t="n">
        <v>2</v>
      </c>
      <c r="C8" s="17" t="s">
        <v>120</v>
      </c>
    </row>
    <row r="9" customFormat="false" ht="15" hidden="false" customHeight="false" outlineLevel="0" collapsed="false">
      <c r="A9" s="9" t="s">
        <v>121</v>
      </c>
      <c r="B9" s="19" t="n">
        <v>2</v>
      </c>
      <c r="C9" s="17" t="s">
        <v>122</v>
      </c>
    </row>
    <row r="10" customFormat="false" ht="15" hidden="false" customHeight="false" outlineLevel="0" collapsed="false">
      <c r="A10" s="9" t="s">
        <v>123</v>
      </c>
      <c r="B10" s="19" t="n">
        <v>15</v>
      </c>
      <c r="C10" s="17" t="s">
        <v>124</v>
      </c>
    </row>
    <row r="11" customFormat="false" ht="15" hidden="false" customHeight="false" outlineLevel="0" collapsed="false">
      <c r="A11" s="9" t="s">
        <v>125</v>
      </c>
      <c r="B11" s="18" t="n">
        <v>100000</v>
      </c>
      <c r="C11" s="17" t="s">
        <v>126</v>
      </c>
    </row>
    <row r="12" customFormat="false" ht="15" hidden="false" customHeight="false" outlineLevel="0" collapsed="false">
      <c r="A12" s="9" t="s">
        <v>127</v>
      </c>
      <c r="B12" s="21" t="n">
        <v>0.05</v>
      </c>
      <c r="C12" s="17" t="s">
        <v>128</v>
      </c>
    </row>
    <row r="13" customFormat="false" ht="15" hidden="false" customHeight="false" outlineLevel="0" collapsed="false">
      <c r="A13" s="9" t="s">
        <v>129</v>
      </c>
      <c r="B13" s="18" t="n">
        <v>100000</v>
      </c>
      <c r="C13" s="17" t="s">
        <v>130</v>
      </c>
    </row>
    <row r="14" customFormat="false" ht="15" hidden="false" customHeight="false" outlineLevel="0" collapsed="false">
      <c r="A14" s="9" t="s">
        <v>131</v>
      </c>
      <c r="B14" s="19" t="n">
        <v>6</v>
      </c>
      <c r="C14" s="17" t="s">
        <v>132</v>
      </c>
    </row>
    <row r="15" customFormat="false" ht="15" hidden="false" customHeight="false" outlineLevel="0" collapsed="false">
      <c r="A15" s="9" t="s">
        <v>133</v>
      </c>
      <c r="B15" s="19" t="n">
        <v>3</v>
      </c>
      <c r="C15" s="17" t="s">
        <v>134</v>
      </c>
    </row>
    <row r="16" customFormat="false" ht="15" hidden="false" customHeight="false" outlineLevel="0" collapsed="false">
      <c r="A16" s="9" t="s">
        <v>135</v>
      </c>
      <c r="B16" s="19" t="n">
        <v>3</v>
      </c>
      <c r="C16" s="17" t="s">
        <v>136</v>
      </c>
    </row>
    <row r="19" customFormat="false" ht="15" hidden="false" customHeight="false" outlineLevel="0" collapsed="false">
      <c r="A19" s="22" t="s">
        <v>137</v>
      </c>
    </row>
    <row r="21" customFormat="false" ht="23.85" hidden="false" customHeight="false" outlineLevel="0" collapsed="false">
      <c r="A21" s="23" t="s">
        <v>138</v>
      </c>
      <c r="B21" s="23" t="s">
        <v>139</v>
      </c>
      <c r="C21" s="23" t="s">
        <v>140</v>
      </c>
      <c r="E21" s="23" t="s">
        <v>141</v>
      </c>
      <c r="F21" s="23" t="s">
        <v>142</v>
      </c>
      <c r="H21" s="23" t="s">
        <v>143</v>
      </c>
      <c r="I21" s="23" t="s">
        <v>142</v>
      </c>
      <c r="K21" s="23" t="s">
        <v>144</v>
      </c>
      <c r="L21" s="23" t="s">
        <v>145</v>
      </c>
      <c r="N21" s="23" t="s">
        <v>146</v>
      </c>
      <c r="O21" s="23" t="s">
        <v>147</v>
      </c>
    </row>
    <row r="22" customFormat="false" ht="15" hidden="false" customHeight="false" outlineLevel="0" collapsed="false">
      <c r="A22" s="9" t="s">
        <v>148</v>
      </c>
      <c r="B22" s="24" t="n">
        <v>0</v>
      </c>
      <c r="C22" s="24" t="s">
        <v>149</v>
      </c>
      <c r="E22" s="9" t="s">
        <v>150</v>
      </c>
      <c r="F22" s="24" t="n">
        <v>0</v>
      </c>
      <c r="H22" s="9" t="s">
        <v>151</v>
      </c>
      <c r="I22" s="24" t="n">
        <v>0</v>
      </c>
      <c r="K22" s="9" t="s">
        <v>71</v>
      </c>
      <c r="L22" s="24" t="n">
        <v>1</v>
      </c>
      <c r="N22" s="9" t="s">
        <v>71</v>
      </c>
      <c r="O22" s="24" t="n">
        <v>2</v>
      </c>
    </row>
    <row r="23" customFormat="false" ht="15" hidden="false" customHeight="false" outlineLevel="0" collapsed="false">
      <c r="A23" s="9" t="s">
        <v>152</v>
      </c>
      <c r="B23" s="24" t="n">
        <v>0</v>
      </c>
      <c r="C23" s="24" t="s">
        <v>149</v>
      </c>
      <c r="E23" s="9" t="s">
        <v>153</v>
      </c>
      <c r="F23" s="24" t="n">
        <v>0</v>
      </c>
      <c r="H23" s="9" t="s">
        <v>154</v>
      </c>
      <c r="I23" s="24" t="n">
        <v>0</v>
      </c>
      <c r="K23" s="9" t="s">
        <v>72</v>
      </c>
      <c r="L23" s="24" t="n">
        <v>2</v>
      </c>
      <c r="N23" s="9" t="s">
        <v>72</v>
      </c>
      <c r="O23" s="24" t="n">
        <v>5</v>
      </c>
    </row>
    <row r="24" customFormat="false" ht="15" hidden="false" customHeight="false" outlineLevel="0" collapsed="false">
      <c r="A24" s="9" t="s">
        <v>155</v>
      </c>
      <c r="B24" s="24" t="n">
        <v>0</v>
      </c>
      <c r="C24" s="24" t="s">
        <v>149</v>
      </c>
      <c r="E24" s="9" t="s">
        <v>156</v>
      </c>
      <c r="F24" s="24" t="n">
        <v>0</v>
      </c>
      <c r="H24" s="9" t="s">
        <v>157</v>
      </c>
      <c r="I24" s="24" t="n">
        <v>1</v>
      </c>
      <c r="K24" s="9" t="s">
        <v>73</v>
      </c>
      <c r="L24" s="24" t="n">
        <v>3</v>
      </c>
      <c r="N24" s="9" t="s">
        <v>73</v>
      </c>
      <c r="O24" s="24" t="n">
        <v>10</v>
      </c>
    </row>
    <row r="25" customFormat="false" ht="15" hidden="false" customHeight="false" outlineLevel="0" collapsed="false">
      <c r="A25" s="9" t="s">
        <v>158</v>
      </c>
      <c r="B25" s="24" t="n">
        <v>0</v>
      </c>
      <c r="C25" s="24" t="s">
        <v>149</v>
      </c>
      <c r="E25" s="9" t="s">
        <v>159</v>
      </c>
      <c r="F25" s="24" t="n">
        <v>1</v>
      </c>
      <c r="H25" s="9" t="s">
        <v>160</v>
      </c>
      <c r="I25" s="24" t="n">
        <v>1</v>
      </c>
    </row>
    <row r="26" customFormat="false" ht="15" hidden="false" customHeight="false" outlineLevel="0" collapsed="false">
      <c r="A26" s="9" t="s">
        <v>161</v>
      </c>
      <c r="B26" s="24" t="n">
        <v>0</v>
      </c>
      <c r="C26" s="24" t="s">
        <v>149</v>
      </c>
      <c r="E26" s="9" t="s">
        <v>162</v>
      </c>
      <c r="F26" s="24" t="n">
        <v>1</v>
      </c>
    </row>
    <row r="27" customFormat="false" ht="15" hidden="false" customHeight="false" outlineLevel="0" collapsed="false">
      <c r="A27" s="9" t="s">
        <v>163</v>
      </c>
      <c r="B27" s="24" t="n">
        <v>0</v>
      </c>
      <c r="C27" s="24" t="s">
        <v>149</v>
      </c>
      <c r="E27" s="9" t="s">
        <v>164</v>
      </c>
      <c r="F27" s="24" t="n">
        <v>1</v>
      </c>
    </row>
    <row r="28" customFormat="false" ht="15" hidden="false" customHeight="false" outlineLevel="0" collapsed="false">
      <c r="A28" s="9" t="s">
        <v>165</v>
      </c>
      <c r="B28" s="24" t="n">
        <v>0</v>
      </c>
      <c r="C28" s="24" t="s">
        <v>149</v>
      </c>
      <c r="E28" s="9" t="s">
        <v>166</v>
      </c>
      <c r="F28" s="24" t="n">
        <v>2</v>
      </c>
    </row>
    <row r="29" customFormat="false" ht="15" hidden="false" customHeight="false" outlineLevel="0" collapsed="false">
      <c r="A29" s="9" t="s">
        <v>167</v>
      </c>
      <c r="B29" s="24" t="n">
        <v>0</v>
      </c>
      <c r="C29" s="24" t="s">
        <v>149</v>
      </c>
      <c r="E29" s="9" t="s">
        <v>168</v>
      </c>
      <c r="F29" s="24" t="n">
        <v>2</v>
      </c>
    </row>
    <row r="30" customFormat="false" ht="15" hidden="false" customHeight="false" outlineLevel="0" collapsed="false">
      <c r="A30" s="9" t="s">
        <v>169</v>
      </c>
      <c r="B30" s="24" t="n">
        <v>1</v>
      </c>
      <c r="C30" s="24" t="s">
        <v>170</v>
      </c>
      <c r="E30" s="9" t="s">
        <v>171</v>
      </c>
      <c r="F30" s="24" t="n">
        <v>2</v>
      </c>
    </row>
    <row r="31" customFormat="false" ht="15" hidden="false" customHeight="false" outlineLevel="0" collapsed="false">
      <c r="A31" s="9" t="s">
        <v>172</v>
      </c>
      <c r="B31" s="24" t="n">
        <v>1</v>
      </c>
      <c r="C31" s="24" t="s">
        <v>170</v>
      </c>
      <c r="E31" s="9" t="s">
        <v>173</v>
      </c>
      <c r="F31" s="24" t="n">
        <v>2</v>
      </c>
    </row>
    <row r="32" customFormat="false" ht="15" hidden="false" customHeight="false" outlineLevel="0" collapsed="false">
      <c r="A32" s="9" t="s">
        <v>174</v>
      </c>
      <c r="B32" s="24" t="n">
        <v>1</v>
      </c>
      <c r="C32" s="24" t="s">
        <v>170</v>
      </c>
      <c r="E32" s="9" t="s">
        <v>175</v>
      </c>
      <c r="F32" s="24" t="n">
        <v>2</v>
      </c>
    </row>
    <row r="33" customFormat="false" ht="15" hidden="false" customHeight="false" outlineLevel="0" collapsed="false">
      <c r="A33" s="9" t="s">
        <v>176</v>
      </c>
      <c r="B33" s="24" t="n">
        <v>1</v>
      </c>
      <c r="C33" s="24" t="s">
        <v>170</v>
      </c>
      <c r="E33" s="9" t="s">
        <v>177</v>
      </c>
      <c r="F33" s="24" t="n">
        <v>3</v>
      </c>
    </row>
    <row r="34" customFormat="false" ht="15" hidden="false" customHeight="false" outlineLevel="0" collapsed="false">
      <c r="A34" s="9" t="s">
        <v>178</v>
      </c>
      <c r="B34" s="24" t="n">
        <v>2</v>
      </c>
      <c r="C34" s="24" t="s">
        <v>179</v>
      </c>
      <c r="E34" s="9" t="s">
        <v>180</v>
      </c>
      <c r="F34" s="24" t="n">
        <v>3</v>
      </c>
    </row>
    <row r="35" customFormat="false" ht="15" hidden="false" customHeight="false" outlineLevel="0" collapsed="false">
      <c r="A35" s="9" t="s">
        <v>181</v>
      </c>
      <c r="B35" s="24" t="n">
        <v>2</v>
      </c>
      <c r="C35" s="24" t="s">
        <v>179</v>
      </c>
      <c r="E35" s="9" t="s">
        <v>182</v>
      </c>
      <c r="F35" s="24" t="n">
        <v>3</v>
      </c>
    </row>
    <row r="36" customFormat="false" ht="15" hidden="false" customHeight="false" outlineLevel="0" collapsed="false">
      <c r="A36" s="9" t="s">
        <v>183</v>
      </c>
      <c r="B36" s="24" t="n">
        <v>2</v>
      </c>
      <c r="C36" s="24" t="s">
        <v>179</v>
      </c>
    </row>
    <row r="37" customFormat="false" ht="15" hidden="false" customHeight="false" outlineLevel="0" collapsed="false">
      <c r="A37" s="9" t="s">
        <v>184</v>
      </c>
      <c r="B37" s="24" t="n">
        <v>3</v>
      </c>
      <c r="C37" s="24" t="s">
        <v>185</v>
      </c>
    </row>
    <row r="38" customFormat="false" ht="15" hidden="false" customHeight="false" outlineLevel="0" collapsed="false">
      <c r="A38" s="9" t="s">
        <v>186</v>
      </c>
      <c r="B38" s="24" t="n">
        <v>3</v>
      </c>
      <c r="C38" s="24" t="s">
        <v>185</v>
      </c>
    </row>
    <row r="39" customFormat="false" ht="15" hidden="false" customHeight="false" outlineLevel="0" collapsed="false">
      <c r="A39" s="9" t="s">
        <v>187</v>
      </c>
      <c r="B39" s="24" t="n">
        <v>3</v>
      </c>
      <c r="C39" s="24" t="s">
        <v>185</v>
      </c>
    </row>
    <row r="41" customFormat="false" ht="15" hidden="false" customHeight="false" outlineLevel="0" collapsed="false">
      <c r="A41" s="2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5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21" min="19" style="0" width="9"/>
    <col collapsed="false" customWidth="true" hidden="false" outlineLevel="0" max="22" min="22" style="0" width="8"/>
    <col collapsed="false" customWidth="true" hidden="false" outlineLevel="0" max="24" min="23" style="0" width="12"/>
    <col collapsed="false" customWidth="true" hidden="false" outlineLevel="0" max="25" min="25" style="0" width="9"/>
    <col collapsed="false" customWidth="true" hidden="false" outlineLevel="0" max="26" min="26" style="0" width="14"/>
    <col collapsed="false" customWidth="true" hidden="false" outlineLevel="0" max="27" min="27" style="0" width="17"/>
    <col collapsed="false" customWidth="true" hidden="false" outlineLevel="0" max="28" min="28" style="0" width="9"/>
    <col collapsed="false" customWidth="true" hidden="false" outlineLevel="0" max="29" min="29" style="0" width="11"/>
    <col collapsed="false" customWidth="true" hidden="false" outlineLevel="0" max="30" min="30" style="0" width="22"/>
    <col collapsed="false" customWidth="true" hidden="false" outlineLevel="0" max="31" min="31" style="0" width="10"/>
  </cols>
  <sheetData>
    <row r="1" customFormat="false" ht="54" hidden="false" customHeight="true" outlineLevel="0" collapsed="false">
      <c r="A1" s="25" t="s">
        <v>189</v>
      </c>
      <c r="B1" s="25" t="s">
        <v>190</v>
      </c>
      <c r="C1" s="25" t="s">
        <v>143</v>
      </c>
      <c r="D1" s="25" t="s">
        <v>138</v>
      </c>
      <c r="E1" s="25" t="s">
        <v>141</v>
      </c>
      <c r="F1" s="25" t="s">
        <v>191</v>
      </c>
      <c r="G1" s="25" t="s">
        <v>192</v>
      </c>
      <c r="H1" s="25" t="s">
        <v>193</v>
      </c>
      <c r="I1" s="25" t="s">
        <v>194</v>
      </c>
      <c r="J1" s="25" t="s">
        <v>195</v>
      </c>
      <c r="K1" s="25" t="s">
        <v>196</v>
      </c>
      <c r="L1" s="25" t="s">
        <v>197</v>
      </c>
      <c r="M1" s="25" t="s">
        <v>198</v>
      </c>
      <c r="N1" s="25" t="s">
        <v>199</v>
      </c>
      <c r="O1" s="25" t="s">
        <v>200</v>
      </c>
      <c r="P1" s="26" t="s">
        <v>201</v>
      </c>
      <c r="Q1" s="26" t="s">
        <v>202</v>
      </c>
      <c r="R1" s="26" t="s">
        <v>203</v>
      </c>
      <c r="S1" s="26" t="s">
        <v>204</v>
      </c>
      <c r="T1" s="26" t="s">
        <v>205</v>
      </c>
      <c r="U1" s="26" t="s">
        <v>206</v>
      </c>
      <c r="V1" s="26" t="s">
        <v>142</v>
      </c>
      <c r="W1" s="26" t="s">
        <v>207</v>
      </c>
      <c r="X1" s="26" t="s">
        <v>208</v>
      </c>
      <c r="Y1" s="26" t="s">
        <v>209</v>
      </c>
      <c r="Z1" s="26" t="s">
        <v>210</v>
      </c>
      <c r="AA1" s="26" t="s">
        <v>211</v>
      </c>
      <c r="AB1" s="26" t="s">
        <v>212</v>
      </c>
      <c r="AC1" s="26" t="s">
        <v>213</v>
      </c>
      <c r="AD1" s="26" t="s">
        <v>214</v>
      </c>
      <c r="AE1" s="26" t="s">
        <v>215</v>
      </c>
    </row>
    <row r="2" customFormat="false" ht="15" hidden="false" customHeight="false" outlineLevel="0" collapsed="false">
      <c r="A2" s="27" t="s">
        <v>216</v>
      </c>
      <c r="B2" s="27" t="s">
        <v>217</v>
      </c>
      <c r="C2" s="27" t="s">
        <v>151</v>
      </c>
      <c r="D2" s="27" t="s">
        <v>155</v>
      </c>
      <c r="E2" s="27" t="s">
        <v>150</v>
      </c>
      <c r="F2" s="28" t="n">
        <v>45326</v>
      </c>
      <c r="G2" s="28" t="n">
        <v>46160</v>
      </c>
      <c r="H2" s="27" t="s">
        <v>73</v>
      </c>
      <c r="I2" s="27" t="s">
        <v>218</v>
      </c>
      <c r="J2" s="27" t="s">
        <v>218</v>
      </c>
      <c r="K2" s="27" t="s">
        <v>218</v>
      </c>
      <c r="L2" s="27" t="s">
        <v>218</v>
      </c>
      <c r="M2" s="27" t="s">
        <v>219</v>
      </c>
      <c r="N2" s="27" t="s">
        <v>220</v>
      </c>
      <c r="O2" s="29" t="n">
        <v>0</v>
      </c>
      <c r="P2" s="27" t="n">
        <f aca="false">4-COUNTIF(I2:L2,"Y")</f>
        <v>0</v>
      </c>
      <c r="Q2" s="27" t="n">
        <f aca="false">COUNTBLANK(A2:O2)</f>
        <v>0</v>
      </c>
      <c r="R2" s="27" t="str">
        <f aca="false">IF(P2&gt;0,"Incomplete - Docs",IF(M2&lt;&gt;"Clear","Incomplete - Screening","Complete"))</f>
        <v>Complete</v>
      </c>
      <c r="S2" s="27" t="n">
        <f aca="false">IFERROR(INDEX(Assumptions!$B$22:$B$39,MATCH(D2,Assumptions!$A$22:$A$39,0)),0)</f>
        <v>0</v>
      </c>
      <c r="T2" s="27" t="n">
        <f aca="false">IFERROR(INDEX(Assumptions!$F$22:$F$35,MATCH(E2,Assumptions!$E$22:$E$35,0)),0)</f>
        <v>0</v>
      </c>
      <c r="U2" s="27" t="n">
        <f aca="false">IFERROR(INDEX(Assumptions!$I$22:$I$25,MATCH(C2,Assumptions!$H$22:$H$25,0)),0)</f>
        <v>0</v>
      </c>
      <c r="V2" s="27" t="n">
        <f aca="false">S2+T2+U2+IF(N2="Y",Assumptions!$B$16,0)</f>
        <v>0</v>
      </c>
      <c r="W2" s="27" t="str">
        <f aca="false">IF(V2&gt;=Assumptions!$B$14,"High",IF(V2&gt;=Assumptions!$B$15,"Medium","Low"))</f>
        <v>Low</v>
      </c>
      <c r="X2" s="27" t="str">
        <f aca="false">IF(H2=W2,"OK",IF(((H2="High")*3+(H2="Medium")*2+(H2="Low"))&lt;((W2="High")*3+(W2="Medium")*2+(W2="Low")),"Under-rated","Over-rated"))</f>
        <v>OK</v>
      </c>
      <c r="Y2" s="27" t="n">
        <f aca="false">INDEX(Assumptions!$L$22:$L$24,MATCH(H2,Assumptions!$K$22:$K$24,0))</f>
        <v>3</v>
      </c>
      <c r="Z2" s="28" t="n">
        <f aca="false">EDATE(G2,12*Y2)</f>
        <v>47256</v>
      </c>
      <c r="AA2" s="27" t="str">
        <f aca="false">IF(Z2&lt;Assumptions!$B$4,"Overdue",IF(Z2&lt;=Assumptions!$B$4+60,"Due within 60 days","Current"))</f>
        <v>Current</v>
      </c>
      <c r="AB2" s="27" t="n">
        <f aca="false">MAX(0,Assumptions!$B$4-Z2)</f>
        <v>0</v>
      </c>
      <c r="AC2" s="27" t="str">
        <f aca="false">IF(COUNTIF($B$2:$B$41,B2)&gt;1,"Duplicate","OK")</f>
        <v>OK</v>
      </c>
      <c r="AD2" s="27" t="str">
        <f aca="false">IF(G2&lt;F2,"Review before onboarding",IF(F2&gt;Assumptions!$B$4,"Future onboarding","OK"))</f>
        <v>OK</v>
      </c>
      <c r="AE2" s="27" t="n">
        <f aca="false">(P2&gt;0)+(Q2&gt;0)+(X2&lt;&gt;"OK")+(AC2&lt;&gt;"OK")+(AD2&lt;&gt;"OK")+(AA2="Overdue")</f>
        <v>0</v>
      </c>
    </row>
    <row r="3" customFormat="false" ht="15" hidden="false" customHeight="false" outlineLevel="0" collapsed="false">
      <c r="A3" s="27" t="s">
        <v>221</v>
      </c>
      <c r="B3" s="27" t="s">
        <v>222</v>
      </c>
      <c r="C3" s="27" t="s">
        <v>151</v>
      </c>
      <c r="D3" s="27" t="s">
        <v>161</v>
      </c>
      <c r="E3" s="27" t="s">
        <v>153</v>
      </c>
      <c r="F3" s="28" t="n">
        <v>44539</v>
      </c>
      <c r="G3" s="28" t="n">
        <v>45767</v>
      </c>
      <c r="H3" s="27" t="s">
        <v>73</v>
      </c>
      <c r="I3" s="27" t="s">
        <v>218</v>
      </c>
      <c r="J3" s="27" t="s">
        <v>218</v>
      </c>
      <c r="K3" s="27" t="s">
        <v>218</v>
      </c>
      <c r="L3" s="27" t="s">
        <v>218</v>
      </c>
      <c r="M3" s="27" t="s">
        <v>219</v>
      </c>
      <c r="N3" s="27" t="s">
        <v>220</v>
      </c>
      <c r="O3" s="29" t="n">
        <v>0</v>
      </c>
      <c r="P3" s="27" t="n">
        <f aca="false">4-COUNTIF(I3:L3,"Y")</f>
        <v>0</v>
      </c>
      <c r="Q3" s="27" t="n">
        <f aca="false">COUNTBLANK(A3:O3)</f>
        <v>0</v>
      </c>
      <c r="R3" s="27" t="str">
        <f aca="false">IF(P3&gt;0,"Incomplete - Docs",IF(M3&lt;&gt;"Clear","Incomplete - Screening","Complete"))</f>
        <v>Complete</v>
      </c>
      <c r="S3" s="27" t="n">
        <f aca="false">IFERROR(INDEX(Assumptions!$B$22:$B$39,MATCH(D3,Assumptions!$A$22:$A$39,0)),0)</f>
        <v>0</v>
      </c>
      <c r="T3" s="27" t="n">
        <f aca="false">IFERROR(INDEX(Assumptions!$F$22:$F$35,MATCH(E3,Assumptions!$E$22:$E$35,0)),0)</f>
        <v>0</v>
      </c>
      <c r="U3" s="27" t="n">
        <f aca="false">IFERROR(INDEX(Assumptions!$I$22:$I$25,MATCH(C3,Assumptions!$H$22:$H$25,0)),0)</f>
        <v>0</v>
      </c>
      <c r="V3" s="27" t="n">
        <f aca="false">S3+T3+U3+IF(N3="Y",Assumptions!$B$16,0)</f>
        <v>0</v>
      </c>
      <c r="W3" s="27" t="str">
        <f aca="false">IF(V3&gt;=Assumptions!$B$14,"High",IF(V3&gt;=Assumptions!$B$15,"Medium","Low"))</f>
        <v>Low</v>
      </c>
      <c r="X3" s="27" t="str">
        <f aca="false">IF(H3=W3,"OK",IF(((H3="High")*3+(H3="Medium")*2+(H3="Low"))&lt;((W3="High")*3+(W3="Medium")*2+(W3="Low")),"Under-rated","Over-rated"))</f>
        <v>OK</v>
      </c>
      <c r="Y3" s="27" t="n">
        <f aca="false">INDEX(Assumptions!$L$22:$L$24,MATCH(H3,Assumptions!$K$22:$K$24,0))</f>
        <v>3</v>
      </c>
      <c r="Z3" s="28" t="n">
        <f aca="false">EDATE(G3,12*Y3)</f>
        <v>46863</v>
      </c>
      <c r="AA3" s="27" t="str">
        <f aca="false">IF(Z3&lt;Assumptions!$B$4,"Overdue",IF(Z3&lt;=Assumptions!$B$4+60,"Due within 60 days","Current"))</f>
        <v>Current</v>
      </c>
      <c r="AB3" s="27" t="n">
        <f aca="false">MAX(0,Assumptions!$B$4-Z3)</f>
        <v>0</v>
      </c>
      <c r="AC3" s="27" t="str">
        <f aca="false">IF(COUNTIF($B$2:$B$41,B3)&gt;1,"Duplicate","OK")</f>
        <v>OK</v>
      </c>
      <c r="AD3" s="27" t="str">
        <f aca="false">IF(G3&lt;F3,"Review before onboarding",IF(F3&gt;Assumptions!$B$4,"Future onboarding","OK"))</f>
        <v>OK</v>
      </c>
      <c r="AE3" s="27" t="n">
        <f aca="false">(P3&gt;0)+(Q3&gt;0)+(X3&lt;&gt;"OK")+(AC3&lt;&gt;"OK")+(AD3&lt;&gt;"OK")+(AA3="Overdue")</f>
        <v>0</v>
      </c>
    </row>
    <row r="4" customFormat="false" ht="15" hidden="false" customHeight="false" outlineLevel="0" collapsed="false">
      <c r="A4" s="27" t="s">
        <v>223</v>
      </c>
      <c r="B4" s="27" t="s">
        <v>224</v>
      </c>
      <c r="C4" s="27" t="s">
        <v>151</v>
      </c>
      <c r="D4" s="27" t="s">
        <v>155</v>
      </c>
      <c r="E4" s="27" t="s">
        <v>156</v>
      </c>
      <c r="F4" s="28" t="n">
        <v>45229</v>
      </c>
      <c r="G4" s="28" t="n">
        <v>45619</v>
      </c>
      <c r="H4" s="27" t="s">
        <v>73</v>
      </c>
      <c r="I4" s="27" t="s">
        <v>218</v>
      </c>
      <c r="J4" s="27" t="s">
        <v>218</v>
      </c>
      <c r="K4" s="27" t="s">
        <v>218</v>
      </c>
      <c r="L4" s="27" t="s">
        <v>218</v>
      </c>
      <c r="M4" s="27" t="s">
        <v>219</v>
      </c>
      <c r="N4" s="27" t="s">
        <v>220</v>
      </c>
      <c r="O4" s="29" t="n">
        <v>0</v>
      </c>
      <c r="P4" s="27" t="n">
        <f aca="false">4-COUNTIF(I4:L4,"Y")</f>
        <v>0</v>
      </c>
      <c r="Q4" s="27" t="n">
        <f aca="false">COUNTBLANK(A4:O4)</f>
        <v>0</v>
      </c>
      <c r="R4" s="27" t="str">
        <f aca="false">IF(P4&gt;0,"Incomplete - Docs",IF(M4&lt;&gt;"Clear","Incomplete - Screening","Complete"))</f>
        <v>Complete</v>
      </c>
      <c r="S4" s="27" t="n">
        <f aca="false">IFERROR(INDEX(Assumptions!$B$22:$B$39,MATCH(D4,Assumptions!$A$22:$A$39,0)),0)</f>
        <v>0</v>
      </c>
      <c r="T4" s="27" t="n">
        <f aca="false">IFERROR(INDEX(Assumptions!$F$22:$F$35,MATCH(E4,Assumptions!$E$22:$E$35,0)),0)</f>
        <v>0</v>
      </c>
      <c r="U4" s="27" t="n">
        <f aca="false">IFERROR(INDEX(Assumptions!$I$22:$I$25,MATCH(C4,Assumptions!$H$22:$H$25,0)),0)</f>
        <v>0</v>
      </c>
      <c r="V4" s="27" t="n">
        <f aca="false">S4+T4+U4+IF(N4="Y",Assumptions!$B$16,0)</f>
        <v>0</v>
      </c>
      <c r="W4" s="27" t="str">
        <f aca="false">IF(V4&gt;=Assumptions!$B$14,"High",IF(V4&gt;=Assumptions!$B$15,"Medium","Low"))</f>
        <v>Low</v>
      </c>
      <c r="X4" s="27" t="str">
        <f aca="false">IF(H4=W4,"OK",IF(((H4="High")*3+(H4="Medium")*2+(H4="Low"))&lt;((W4="High")*3+(W4="Medium")*2+(W4="Low")),"Under-rated","Over-rated"))</f>
        <v>OK</v>
      </c>
      <c r="Y4" s="27" t="n">
        <f aca="false">INDEX(Assumptions!$L$22:$L$24,MATCH(H4,Assumptions!$K$22:$K$24,0))</f>
        <v>3</v>
      </c>
      <c r="Z4" s="28" t="n">
        <f aca="false">EDATE(G4,12*Y4)</f>
        <v>46714</v>
      </c>
      <c r="AA4" s="27" t="str">
        <f aca="false">IF(Z4&lt;Assumptions!$B$4,"Overdue",IF(Z4&lt;=Assumptions!$B$4+60,"Due within 60 days","Current"))</f>
        <v>Current</v>
      </c>
      <c r="AB4" s="27" t="n">
        <f aca="false">MAX(0,Assumptions!$B$4-Z4)</f>
        <v>0</v>
      </c>
      <c r="AC4" s="27" t="str">
        <f aca="false">IF(COUNTIF($B$2:$B$41,B4)&gt;1,"Duplicate","OK")</f>
        <v>OK</v>
      </c>
      <c r="AD4" s="27" t="str">
        <f aca="false">IF(G4&lt;F4,"Review before onboarding",IF(F4&gt;Assumptions!$B$4,"Future onboarding","OK"))</f>
        <v>OK</v>
      </c>
      <c r="AE4" s="27" t="n">
        <f aca="false">(P4&gt;0)+(Q4&gt;0)+(X4&lt;&gt;"OK")+(AC4&lt;&gt;"OK")+(AD4&lt;&gt;"OK")+(AA4="Overdue")</f>
        <v>0</v>
      </c>
    </row>
    <row r="5" customFormat="false" ht="15" hidden="false" customHeight="false" outlineLevel="0" collapsed="false">
      <c r="A5" s="27" t="s">
        <v>225</v>
      </c>
      <c r="B5" s="27" t="s">
        <v>226</v>
      </c>
      <c r="C5" s="27" t="s">
        <v>157</v>
      </c>
      <c r="D5" s="27" t="s">
        <v>152</v>
      </c>
      <c r="E5" s="27" t="s">
        <v>159</v>
      </c>
      <c r="F5" s="28" t="n">
        <v>44739</v>
      </c>
      <c r="G5" s="28" t="n">
        <v>45376</v>
      </c>
      <c r="H5" s="27" t="s">
        <v>73</v>
      </c>
      <c r="I5" s="27" t="s">
        <v>218</v>
      </c>
      <c r="J5" s="27" t="s">
        <v>218</v>
      </c>
      <c r="K5" s="27" t="s">
        <v>218</v>
      </c>
      <c r="L5" s="27" t="s">
        <v>218</v>
      </c>
      <c r="M5" s="27" t="s">
        <v>219</v>
      </c>
      <c r="N5" s="27" t="s">
        <v>220</v>
      </c>
      <c r="O5" s="29" t="n">
        <v>0</v>
      </c>
      <c r="P5" s="27" t="n">
        <f aca="false">4-COUNTIF(I5:L5,"Y")</f>
        <v>0</v>
      </c>
      <c r="Q5" s="27" t="n">
        <f aca="false">COUNTBLANK(A5:O5)</f>
        <v>0</v>
      </c>
      <c r="R5" s="27" t="str">
        <f aca="false">IF(P5&gt;0,"Incomplete - Docs",IF(M5&lt;&gt;"Clear","Incomplete - Screening","Complete"))</f>
        <v>Complete</v>
      </c>
      <c r="S5" s="27" t="n">
        <f aca="false">IFERROR(INDEX(Assumptions!$B$22:$B$39,MATCH(D5,Assumptions!$A$22:$A$39,0)),0)</f>
        <v>0</v>
      </c>
      <c r="T5" s="27" t="n">
        <f aca="false">IFERROR(INDEX(Assumptions!$F$22:$F$35,MATCH(E5,Assumptions!$E$22:$E$35,0)),0)</f>
        <v>1</v>
      </c>
      <c r="U5" s="27" t="n">
        <f aca="false">IFERROR(INDEX(Assumptions!$I$22:$I$25,MATCH(C5,Assumptions!$H$22:$H$25,0)),0)</f>
        <v>1</v>
      </c>
      <c r="V5" s="27" t="n">
        <f aca="false">S5+T5+U5+IF(N5="Y",Assumptions!$B$16,0)</f>
        <v>2</v>
      </c>
      <c r="W5" s="27" t="str">
        <f aca="false">IF(V5&gt;=Assumptions!$B$14,"High",IF(V5&gt;=Assumptions!$B$15,"Medium","Low"))</f>
        <v>Low</v>
      </c>
      <c r="X5" s="27" t="str">
        <f aca="false">IF(H5=W5,"OK",IF(((H5="High")*3+(H5="Medium")*2+(H5="Low"))&lt;((W5="High")*3+(W5="Medium")*2+(W5="Low")),"Under-rated","Over-rated"))</f>
        <v>OK</v>
      </c>
      <c r="Y5" s="27" t="n">
        <f aca="false">INDEX(Assumptions!$L$22:$L$24,MATCH(H5,Assumptions!$K$22:$K$24,0))</f>
        <v>3</v>
      </c>
      <c r="Z5" s="28" t="n">
        <f aca="false">EDATE(G5,12*Y5)</f>
        <v>46471</v>
      </c>
      <c r="AA5" s="27" t="str">
        <f aca="false">IF(Z5&lt;Assumptions!$B$4,"Overdue",IF(Z5&lt;=Assumptions!$B$4+60,"Due within 60 days","Current"))</f>
        <v>Current</v>
      </c>
      <c r="AB5" s="27" t="n">
        <f aca="false">MAX(0,Assumptions!$B$4-Z5)</f>
        <v>0</v>
      </c>
      <c r="AC5" s="27" t="str">
        <f aca="false">IF(COUNTIF($B$2:$B$41,B5)&gt;1,"Duplicate","OK")</f>
        <v>OK</v>
      </c>
      <c r="AD5" s="27" t="str">
        <f aca="false">IF(G5&lt;F5,"Review before onboarding",IF(F5&gt;Assumptions!$B$4,"Future onboarding","OK"))</f>
        <v>OK</v>
      </c>
      <c r="AE5" s="27" t="n">
        <f aca="false">(P5&gt;0)+(Q5&gt;0)+(X5&lt;&gt;"OK")+(AC5&lt;&gt;"OK")+(AD5&lt;&gt;"OK")+(AA5="Overdue")</f>
        <v>0</v>
      </c>
    </row>
    <row r="6" customFormat="false" ht="15" hidden="false" customHeight="false" outlineLevel="0" collapsed="false">
      <c r="A6" s="27" t="s">
        <v>227</v>
      </c>
      <c r="B6" s="27" t="s">
        <v>228</v>
      </c>
      <c r="C6" s="27" t="s">
        <v>151</v>
      </c>
      <c r="D6" s="27" t="s">
        <v>148</v>
      </c>
      <c r="E6" s="27" t="s">
        <v>171</v>
      </c>
      <c r="F6" s="28" t="n">
        <v>43955</v>
      </c>
      <c r="G6" s="28" t="n">
        <v>45365</v>
      </c>
      <c r="H6" s="27" t="s">
        <v>73</v>
      </c>
      <c r="I6" s="27" t="s">
        <v>218</v>
      </c>
      <c r="J6" s="27" t="s">
        <v>218</v>
      </c>
      <c r="K6" s="27" t="s">
        <v>218</v>
      </c>
      <c r="L6" s="27" t="s">
        <v>218</v>
      </c>
      <c r="M6" s="27" t="s">
        <v>219</v>
      </c>
      <c r="N6" s="27" t="s">
        <v>220</v>
      </c>
      <c r="O6" s="29" t="n">
        <v>40000</v>
      </c>
      <c r="P6" s="27" t="n">
        <f aca="false">4-COUNTIF(I6:L6,"Y")</f>
        <v>0</v>
      </c>
      <c r="Q6" s="27" t="n">
        <f aca="false">COUNTBLANK(A6:O6)</f>
        <v>0</v>
      </c>
      <c r="R6" s="27" t="str">
        <f aca="false">IF(P6&gt;0,"Incomplete - Docs",IF(M6&lt;&gt;"Clear","Incomplete - Screening","Complete"))</f>
        <v>Complete</v>
      </c>
      <c r="S6" s="27" t="n">
        <f aca="false">IFERROR(INDEX(Assumptions!$B$22:$B$39,MATCH(D6,Assumptions!$A$22:$A$39,0)),0)</f>
        <v>0</v>
      </c>
      <c r="T6" s="27" t="n">
        <f aca="false">IFERROR(INDEX(Assumptions!$F$22:$F$35,MATCH(E6,Assumptions!$E$22:$E$35,0)),0)</f>
        <v>2</v>
      </c>
      <c r="U6" s="27" t="n">
        <f aca="false">IFERROR(INDEX(Assumptions!$I$22:$I$25,MATCH(C6,Assumptions!$H$22:$H$25,0)),0)</f>
        <v>0</v>
      </c>
      <c r="V6" s="27" t="n">
        <f aca="false">S6+T6+U6+IF(N6="Y",Assumptions!$B$16,0)</f>
        <v>2</v>
      </c>
      <c r="W6" s="27" t="str">
        <f aca="false">IF(V6&gt;=Assumptions!$B$14,"High",IF(V6&gt;=Assumptions!$B$15,"Medium","Low"))</f>
        <v>Low</v>
      </c>
      <c r="X6" s="27" t="str">
        <f aca="false">IF(H6=W6,"OK",IF(((H6="High")*3+(H6="Medium")*2+(H6="Low"))&lt;((W6="High")*3+(W6="Medium")*2+(W6="Low")),"Under-rated","Over-rated"))</f>
        <v>OK</v>
      </c>
      <c r="Y6" s="27" t="n">
        <f aca="false">INDEX(Assumptions!$L$22:$L$24,MATCH(H6,Assumptions!$K$22:$K$24,0))</f>
        <v>3</v>
      </c>
      <c r="Z6" s="28" t="n">
        <f aca="false">EDATE(G6,12*Y6)</f>
        <v>46460</v>
      </c>
      <c r="AA6" s="27" t="str">
        <f aca="false">IF(Z6&lt;Assumptions!$B$4,"Overdue",IF(Z6&lt;=Assumptions!$B$4+60,"Due within 60 days","Current"))</f>
        <v>Current</v>
      </c>
      <c r="AB6" s="27" t="n">
        <f aca="false">MAX(0,Assumptions!$B$4-Z6)</f>
        <v>0</v>
      </c>
      <c r="AC6" s="27" t="str">
        <f aca="false">IF(COUNTIF($B$2:$B$41,B6)&gt;1,"Duplicate","OK")</f>
        <v>OK</v>
      </c>
      <c r="AD6" s="27" t="str">
        <f aca="false">IF(G6&lt;F6,"Review before onboarding",IF(F6&gt;Assumptions!$B$4,"Future onboarding","OK"))</f>
        <v>OK</v>
      </c>
      <c r="AE6" s="27" t="n">
        <f aca="false">(P6&gt;0)+(Q6&gt;0)+(X6&lt;&gt;"OK")+(AC6&lt;&gt;"OK")+(AD6&lt;&gt;"OK")+(AA6="Overdue")</f>
        <v>0</v>
      </c>
    </row>
    <row r="7" customFormat="false" ht="15" hidden="false" customHeight="false" outlineLevel="0" collapsed="false">
      <c r="A7" s="27" t="s">
        <v>229</v>
      </c>
      <c r="B7" s="27" t="s">
        <v>230</v>
      </c>
      <c r="C7" s="27" t="s">
        <v>151</v>
      </c>
      <c r="D7" s="27" t="s">
        <v>155</v>
      </c>
      <c r="E7" s="27" t="s">
        <v>168</v>
      </c>
      <c r="F7" s="28" t="n">
        <v>44326</v>
      </c>
      <c r="G7" s="28" t="n">
        <v>45645</v>
      </c>
      <c r="H7" s="27" t="s">
        <v>73</v>
      </c>
      <c r="I7" s="27" t="s">
        <v>218</v>
      </c>
      <c r="J7" s="27" t="s">
        <v>218</v>
      </c>
      <c r="K7" s="27" t="s">
        <v>218</v>
      </c>
      <c r="L7" s="27" t="s">
        <v>218</v>
      </c>
      <c r="M7" s="27" t="s">
        <v>219</v>
      </c>
      <c r="N7" s="27" t="s">
        <v>220</v>
      </c>
      <c r="O7" s="29" t="n">
        <v>0</v>
      </c>
      <c r="P7" s="27" t="n">
        <f aca="false">4-COUNTIF(I7:L7,"Y")</f>
        <v>0</v>
      </c>
      <c r="Q7" s="27" t="n">
        <f aca="false">COUNTBLANK(A7:O7)</f>
        <v>0</v>
      </c>
      <c r="R7" s="27" t="str">
        <f aca="false">IF(P7&gt;0,"Incomplete - Docs",IF(M7&lt;&gt;"Clear","Incomplete - Screening","Complete"))</f>
        <v>Complete</v>
      </c>
      <c r="S7" s="27" t="n">
        <f aca="false">IFERROR(INDEX(Assumptions!$B$22:$B$39,MATCH(D7,Assumptions!$A$22:$A$39,0)),0)</f>
        <v>0</v>
      </c>
      <c r="T7" s="27" t="n">
        <f aca="false">IFERROR(INDEX(Assumptions!$F$22:$F$35,MATCH(E7,Assumptions!$E$22:$E$35,0)),0)</f>
        <v>2</v>
      </c>
      <c r="U7" s="27" t="n">
        <f aca="false">IFERROR(INDEX(Assumptions!$I$22:$I$25,MATCH(C7,Assumptions!$H$22:$H$25,0)),0)</f>
        <v>0</v>
      </c>
      <c r="V7" s="27" t="n">
        <f aca="false">S7+T7+U7+IF(N7="Y",Assumptions!$B$16,0)</f>
        <v>2</v>
      </c>
      <c r="W7" s="27" t="str">
        <f aca="false">IF(V7&gt;=Assumptions!$B$14,"High",IF(V7&gt;=Assumptions!$B$15,"Medium","Low"))</f>
        <v>Low</v>
      </c>
      <c r="X7" s="27" t="str">
        <f aca="false">IF(H7=W7,"OK",IF(((H7="High")*3+(H7="Medium")*2+(H7="Low"))&lt;((W7="High")*3+(W7="Medium")*2+(W7="Low")),"Under-rated","Over-rated"))</f>
        <v>OK</v>
      </c>
      <c r="Y7" s="27" t="n">
        <f aca="false">INDEX(Assumptions!$L$22:$L$24,MATCH(H7,Assumptions!$K$22:$K$24,0))</f>
        <v>3</v>
      </c>
      <c r="Z7" s="28" t="n">
        <f aca="false">EDATE(G7,12*Y7)</f>
        <v>46740</v>
      </c>
      <c r="AA7" s="27" t="str">
        <f aca="false">IF(Z7&lt;Assumptions!$B$4,"Overdue",IF(Z7&lt;=Assumptions!$B$4+60,"Due within 60 days","Current"))</f>
        <v>Current</v>
      </c>
      <c r="AB7" s="27" t="n">
        <f aca="false">MAX(0,Assumptions!$B$4-Z7)</f>
        <v>0</v>
      </c>
      <c r="AC7" s="27" t="str">
        <f aca="false">IF(COUNTIF($B$2:$B$41,B7)&gt;1,"Duplicate","OK")</f>
        <v>Duplicate</v>
      </c>
      <c r="AD7" s="27" t="str">
        <f aca="false">IF(G7&lt;F7,"Review before onboarding",IF(F7&gt;Assumptions!$B$4,"Future onboarding","OK"))</f>
        <v>OK</v>
      </c>
      <c r="AE7" s="27" t="n">
        <f aca="false">(P7&gt;0)+(Q7&gt;0)+(X7&lt;&gt;"OK")+(AC7&lt;&gt;"OK")+(AD7&lt;&gt;"OK")+(AA7="Overdue")</f>
        <v>1</v>
      </c>
    </row>
    <row r="8" customFormat="false" ht="15" hidden="false" customHeight="false" outlineLevel="0" collapsed="false">
      <c r="A8" s="27" t="s">
        <v>231</v>
      </c>
      <c r="B8" s="27" t="s">
        <v>232</v>
      </c>
      <c r="C8" s="27" t="s">
        <v>151</v>
      </c>
      <c r="D8" s="27" t="s">
        <v>163</v>
      </c>
      <c r="E8" s="27" t="s">
        <v>164</v>
      </c>
      <c r="F8" s="28" t="n">
        <v>43483</v>
      </c>
      <c r="G8" s="28" t="n">
        <v>45267</v>
      </c>
      <c r="H8" s="27" t="s">
        <v>73</v>
      </c>
      <c r="I8" s="27" t="s">
        <v>218</v>
      </c>
      <c r="J8" s="27" t="s">
        <v>218</v>
      </c>
      <c r="K8" s="27" t="s">
        <v>218</v>
      </c>
      <c r="L8" s="27" t="s">
        <v>218</v>
      </c>
      <c r="M8" s="27" t="s">
        <v>219</v>
      </c>
      <c r="N8" s="27" t="s">
        <v>220</v>
      </c>
      <c r="O8" s="29" t="n">
        <v>0</v>
      </c>
      <c r="P8" s="27" t="n">
        <f aca="false">4-COUNTIF(I8:L8,"Y")</f>
        <v>0</v>
      </c>
      <c r="Q8" s="27" t="n">
        <f aca="false">COUNTBLANK(A8:O8)</f>
        <v>0</v>
      </c>
      <c r="R8" s="27" t="str">
        <f aca="false">IF(P8&gt;0,"Incomplete - Docs",IF(M8&lt;&gt;"Clear","Incomplete - Screening","Complete"))</f>
        <v>Complete</v>
      </c>
      <c r="S8" s="27" t="n">
        <f aca="false">IFERROR(INDEX(Assumptions!$B$22:$B$39,MATCH(D8,Assumptions!$A$22:$A$39,0)),0)</f>
        <v>0</v>
      </c>
      <c r="T8" s="27" t="n">
        <f aca="false">IFERROR(INDEX(Assumptions!$F$22:$F$35,MATCH(E8,Assumptions!$E$22:$E$35,0)),0)</f>
        <v>1</v>
      </c>
      <c r="U8" s="27" t="n">
        <f aca="false">IFERROR(INDEX(Assumptions!$I$22:$I$25,MATCH(C8,Assumptions!$H$22:$H$25,0)),0)</f>
        <v>0</v>
      </c>
      <c r="V8" s="27" t="n">
        <f aca="false">S8+T8+U8+IF(N8="Y",Assumptions!$B$16,0)</f>
        <v>1</v>
      </c>
      <c r="W8" s="27" t="str">
        <f aca="false">IF(V8&gt;=Assumptions!$B$14,"High",IF(V8&gt;=Assumptions!$B$15,"Medium","Low"))</f>
        <v>Low</v>
      </c>
      <c r="X8" s="27" t="str">
        <f aca="false">IF(H8=W8,"OK",IF(((H8="High")*3+(H8="Medium")*2+(H8="Low"))&lt;((W8="High")*3+(W8="Medium")*2+(W8="Low")),"Under-rated","Over-rated"))</f>
        <v>OK</v>
      </c>
      <c r="Y8" s="27" t="n">
        <f aca="false">INDEX(Assumptions!$L$22:$L$24,MATCH(H8,Assumptions!$K$22:$K$24,0))</f>
        <v>3</v>
      </c>
      <c r="Z8" s="28" t="n">
        <f aca="false">EDATE(G8,12*Y8)</f>
        <v>46363</v>
      </c>
      <c r="AA8" s="27" t="str">
        <f aca="false">IF(Z8&lt;Assumptions!$B$4,"Overdue",IF(Z8&lt;=Assumptions!$B$4+60,"Due within 60 days","Current"))</f>
        <v>Due within 60 days</v>
      </c>
      <c r="AB8" s="27" t="n">
        <f aca="false">MAX(0,Assumptions!$B$4-Z8)</f>
        <v>0</v>
      </c>
      <c r="AC8" s="27" t="str">
        <f aca="false">IF(COUNTIF($B$2:$B$41,B8)&gt;1,"Duplicate","OK")</f>
        <v>OK</v>
      </c>
      <c r="AD8" s="27" t="str">
        <f aca="false">IF(G8&lt;F8,"Review before onboarding",IF(F8&gt;Assumptions!$B$4,"Future onboarding","OK"))</f>
        <v>OK</v>
      </c>
      <c r="AE8" s="27" t="n">
        <f aca="false">(P8&gt;0)+(Q8&gt;0)+(X8&lt;&gt;"OK")+(AC8&lt;&gt;"OK")+(AD8&lt;&gt;"OK")+(AA8="Overdue")</f>
        <v>0</v>
      </c>
    </row>
    <row r="9" customFormat="false" ht="15" hidden="false" customHeight="false" outlineLevel="0" collapsed="false">
      <c r="A9" s="27" t="s">
        <v>233</v>
      </c>
      <c r="B9" s="27" t="s">
        <v>234</v>
      </c>
      <c r="C9" s="27" t="s">
        <v>151</v>
      </c>
      <c r="D9" s="27" t="s">
        <v>172</v>
      </c>
      <c r="E9" s="27" t="s">
        <v>177</v>
      </c>
      <c r="F9" s="28" t="n">
        <v>44394</v>
      </c>
      <c r="G9" s="28" t="n">
        <v>45695</v>
      </c>
      <c r="H9" s="27" t="s">
        <v>73</v>
      </c>
      <c r="I9" s="27" t="s">
        <v>218</v>
      </c>
      <c r="J9" s="27" t="s">
        <v>218</v>
      </c>
      <c r="K9" s="27" t="s">
        <v>218</v>
      </c>
      <c r="L9" s="27" t="s">
        <v>218</v>
      </c>
      <c r="M9" s="27" t="s">
        <v>219</v>
      </c>
      <c r="N9" s="27" t="s">
        <v>220</v>
      </c>
      <c r="O9" s="29" t="n">
        <v>20000</v>
      </c>
      <c r="P9" s="27" t="n">
        <f aca="false">4-COUNTIF(I9:L9,"Y")</f>
        <v>0</v>
      </c>
      <c r="Q9" s="27" t="n">
        <f aca="false">COUNTBLANK(A9:O9)</f>
        <v>0</v>
      </c>
      <c r="R9" s="27" t="str">
        <f aca="false">IF(P9&gt;0,"Incomplete - Docs",IF(M9&lt;&gt;"Clear","Incomplete - Screening","Complete"))</f>
        <v>Complete</v>
      </c>
      <c r="S9" s="27" t="n">
        <f aca="false">IFERROR(INDEX(Assumptions!$B$22:$B$39,MATCH(D9,Assumptions!$A$22:$A$39,0)),0)</f>
        <v>1</v>
      </c>
      <c r="T9" s="27" t="n">
        <f aca="false">IFERROR(INDEX(Assumptions!$F$22:$F$35,MATCH(E9,Assumptions!$E$22:$E$35,0)),0)</f>
        <v>3</v>
      </c>
      <c r="U9" s="27" t="n">
        <f aca="false">IFERROR(INDEX(Assumptions!$I$22:$I$25,MATCH(C9,Assumptions!$H$22:$H$25,0)),0)</f>
        <v>0</v>
      </c>
      <c r="V9" s="27" t="n">
        <f aca="false">S9+T9+U9+IF(N9="Y",Assumptions!$B$16,0)</f>
        <v>4</v>
      </c>
      <c r="W9" s="27" t="str">
        <f aca="false">IF(V9&gt;=Assumptions!$B$14,"High",IF(V9&gt;=Assumptions!$B$15,"Medium","Low"))</f>
        <v>Medium</v>
      </c>
      <c r="X9" s="27" t="str">
        <f aca="false">IF(H9=W9,"OK",IF(((H9="High")*3+(H9="Medium")*2+(H9="Low"))&lt;((W9="High")*3+(W9="Medium")*2+(W9="Low")),"Under-rated","Over-rated"))</f>
        <v>Under-rated</v>
      </c>
      <c r="Y9" s="27" t="n">
        <f aca="false">INDEX(Assumptions!$L$22:$L$24,MATCH(H9,Assumptions!$K$22:$K$24,0))</f>
        <v>3</v>
      </c>
      <c r="Z9" s="28" t="n">
        <f aca="false">EDATE(G9,12*Y9)</f>
        <v>46790</v>
      </c>
      <c r="AA9" s="27" t="str">
        <f aca="false">IF(Z9&lt;Assumptions!$B$4,"Overdue",IF(Z9&lt;=Assumptions!$B$4+60,"Due within 60 days","Current"))</f>
        <v>Current</v>
      </c>
      <c r="AB9" s="27" t="n">
        <f aca="false">MAX(0,Assumptions!$B$4-Z9)</f>
        <v>0</v>
      </c>
      <c r="AC9" s="27" t="str">
        <f aca="false">IF(COUNTIF($B$2:$B$41,B9)&gt;1,"Duplicate","OK")</f>
        <v>OK</v>
      </c>
      <c r="AD9" s="27" t="str">
        <f aca="false">IF(G9&lt;F9,"Review before onboarding",IF(F9&gt;Assumptions!$B$4,"Future onboarding","OK"))</f>
        <v>OK</v>
      </c>
      <c r="AE9" s="27" t="n">
        <f aca="false">(P9&gt;0)+(Q9&gt;0)+(X9&lt;&gt;"OK")+(AC9&lt;&gt;"OK")+(AD9&lt;&gt;"OK")+(AA9="Overdue")</f>
        <v>1</v>
      </c>
    </row>
    <row r="10" customFormat="false" ht="15" hidden="false" customHeight="false" outlineLevel="0" collapsed="false">
      <c r="A10" s="27" t="s">
        <v>235</v>
      </c>
      <c r="B10" s="27" t="s">
        <v>236</v>
      </c>
      <c r="C10" s="27" t="s">
        <v>151</v>
      </c>
      <c r="D10" s="27" t="s">
        <v>158</v>
      </c>
      <c r="E10" s="27" t="s">
        <v>166</v>
      </c>
      <c r="F10" s="28" t="n">
        <v>44061</v>
      </c>
      <c r="G10" s="28" t="n">
        <v>45779</v>
      </c>
      <c r="H10" s="27" t="s">
        <v>72</v>
      </c>
      <c r="I10" s="27" t="s">
        <v>218</v>
      </c>
      <c r="J10" s="27" t="s">
        <v>218</v>
      </c>
      <c r="K10" s="27" t="s">
        <v>218</v>
      </c>
      <c r="L10" s="27" t="s">
        <v>218</v>
      </c>
      <c r="M10" s="27" t="s">
        <v>219</v>
      </c>
      <c r="N10" s="27" t="s">
        <v>220</v>
      </c>
      <c r="O10" s="29" t="n">
        <v>0</v>
      </c>
      <c r="P10" s="27" t="n">
        <f aca="false">4-COUNTIF(I10:L10,"Y")</f>
        <v>0</v>
      </c>
      <c r="Q10" s="27" t="n">
        <f aca="false">COUNTBLANK(A10:O10)</f>
        <v>0</v>
      </c>
      <c r="R10" s="27" t="str">
        <f aca="false">IF(P10&gt;0,"Incomplete - Docs",IF(M10&lt;&gt;"Clear","Incomplete - Screening","Complete"))</f>
        <v>Complete</v>
      </c>
      <c r="S10" s="27" t="n">
        <f aca="false">IFERROR(INDEX(Assumptions!$B$22:$B$39,MATCH(D10,Assumptions!$A$22:$A$39,0)),0)</f>
        <v>0</v>
      </c>
      <c r="T10" s="27" t="n">
        <f aca="false">IFERROR(INDEX(Assumptions!$F$22:$F$35,MATCH(E10,Assumptions!$E$22:$E$35,0)),0)</f>
        <v>2</v>
      </c>
      <c r="U10" s="27" t="n">
        <f aca="false">IFERROR(INDEX(Assumptions!$I$22:$I$25,MATCH(C10,Assumptions!$H$22:$H$25,0)),0)</f>
        <v>0</v>
      </c>
      <c r="V10" s="27" t="n">
        <f aca="false">S10+T10+U10+IF(N10="Y",Assumptions!$B$16,0)</f>
        <v>2</v>
      </c>
      <c r="W10" s="27" t="str">
        <f aca="false">IF(V10&gt;=Assumptions!$B$14,"High",IF(V10&gt;=Assumptions!$B$15,"Medium","Low"))</f>
        <v>Low</v>
      </c>
      <c r="X10" s="27" t="str">
        <f aca="false">IF(H10=W10,"OK",IF(((H10="High")*3+(H10="Medium")*2+(H10="Low"))&lt;((W10="High")*3+(W10="Medium")*2+(W10="Low")),"Under-rated","Over-rated"))</f>
        <v>Over-rated</v>
      </c>
      <c r="Y10" s="27" t="n">
        <f aca="false">INDEX(Assumptions!$L$22:$L$24,MATCH(H10,Assumptions!$K$22:$K$24,0))</f>
        <v>2</v>
      </c>
      <c r="Z10" s="28" t="n">
        <f aca="false">EDATE(G10,12*Y10)</f>
        <v>46509</v>
      </c>
      <c r="AA10" s="27" t="str">
        <f aca="false">IF(Z10&lt;Assumptions!$B$4,"Overdue",IF(Z10&lt;=Assumptions!$B$4+60,"Due within 60 days","Current"))</f>
        <v>Current</v>
      </c>
      <c r="AB10" s="27" t="n">
        <f aca="false">MAX(0,Assumptions!$B$4-Z10)</f>
        <v>0</v>
      </c>
      <c r="AC10" s="27" t="str">
        <f aca="false">IF(COUNTIF($B$2:$B$41,B10)&gt;1,"Duplicate","OK")</f>
        <v>OK</v>
      </c>
      <c r="AD10" s="27" t="str">
        <f aca="false">IF(G10&lt;F10,"Review before onboarding",IF(F10&gt;Assumptions!$B$4,"Future onboarding","OK"))</f>
        <v>OK</v>
      </c>
      <c r="AE10" s="27" t="n">
        <f aca="false">(P10&gt;0)+(Q10&gt;0)+(X10&lt;&gt;"OK")+(AC10&lt;&gt;"OK")+(AD10&lt;&gt;"OK")+(AA10="Overdue")</f>
        <v>1</v>
      </c>
    </row>
    <row r="11" customFormat="false" ht="15" hidden="false" customHeight="false" outlineLevel="0" collapsed="false">
      <c r="A11" s="27" t="s">
        <v>237</v>
      </c>
      <c r="B11" s="27" t="s">
        <v>238</v>
      </c>
      <c r="C11" s="27" t="s">
        <v>151</v>
      </c>
      <c r="D11" s="27" t="s">
        <v>169</v>
      </c>
      <c r="E11" s="27" t="s">
        <v>168</v>
      </c>
      <c r="F11" s="28" t="n">
        <v>45159</v>
      </c>
      <c r="G11" s="28" t="n">
        <v>45830</v>
      </c>
      <c r="H11" s="27" t="s">
        <v>72</v>
      </c>
      <c r="I11" s="27" t="s">
        <v>218</v>
      </c>
      <c r="J11" s="27" t="s">
        <v>218</v>
      </c>
      <c r="K11" s="27" t="s">
        <v>218</v>
      </c>
      <c r="L11" s="27" t="s">
        <v>218</v>
      </c>
      <c r="M11" s="27" t="s">
        <v>219</v>
      </c>
      <c r="N11" s="27" t="s">
        <v>220</v>
      </c>
      <c r="O11" s="29" t="n">
        <v>0</v>
      </c>
      <c r="P11" s="27" t="n">
        <f aca="false">4-COUNTIF(I11:L11,"Y")</f>
        <v>0</v>
      </c>
      <c r="Q11" s="27" t="n">
        <f aca="false">COUNTBLANK(A11:O11)</f>
        <v>0</v>
      </c>
      <c r="R11" s="27" t="str">
        <f aca="false">IF(P11&gt;0,"Incomplete - Docs",IF(M11&lt;&gt;"Clear","Incomplete - Screening","Complete"))</f>
        <v>Complete</v>
      </c>
      <c r="S11" s="27" t="n">
        <f aca="false">IFERROR(INDEX(Assumptions!$B$22:$B$39,MATCH(D11,Assumptions!$A$22:$A$39,0)),0)</f>
        <v>1</v>
      </c>
      <c r="T11" s="27" t="n">
        <f aca="false">IFERROR(INDEX(Assumptions!$F$22:$F$35,MATCH(E11,Assumptions!$E$22:$E$35,0)),0)</f>
        <v>2</v>
      </c>
      <c r="U11" s="27" t="n">
        <f aca="false">IFERROR(INDEX(Assumptions!$I$22:$I$25,MATCH(C11,Assumptions!$H$22:$H$25,0)),0)</f>
        <v>0</v>
      </c>
      <c r="V11" s="27" t="n">
        <f aca="false">S11+T11+U11+IF(N11="Y",Assumptions!$B$16,0)</f>
        <v>3</v>
      </c>
      <c r="W11" s="27" t="str">
        <f aca="false">IF(V11&gt;=Assumptions!$B$14,"High",IF(V11&gt;=Assumptions!$B$15,"Medium","Low"))</f>
        <v>Medium</v>
      </c>
      <c r="X11" s="27" t="str">
        <f aca="false">IF(H11=W11,"OK",IF(((H11="High")*3+(H11="Medium")*2+(H11="Low"))&lt;((W11="High")*3+(W11="Medium")*2+(W11="Low")),"Under-rated","Over-rated"))</f>
        <v>OK</v>
      </c>
      <c r="Y11" s="27" t="n">
        <f aca="false">INDEX(Assumptions!$L$22:$L$24,MATCH(H11,Assumptions!$K$22:$K$24,0))</f>
        <v>2</v>
      </c>
      <c r="Z11" s="28" t="n">
        <f aca="false">EDATE(G11,12*Y11)</f>
        <v>46560</v>
      </c>
      <c r="AA11" s="27" t="str">
        <f aca="false">IF(Z11&lt;Assumptions!$B$4,"Overdue",IF(Z11&lt;=Assumptions!$B$4+60,"Due within 60 days","Current"))</f>
        <v>Current</v>
      </c>
      <c r="AB11" s="27" t="n">
        <f aca="false">MAX(0,Assumptions!$B$4-Z11)</f>
        <v>0</v>
      </c>
      <c r="AC11" s="27" t="str">
        <f aca="false">IF(COUNTIF($B$2:$B$41,B11)&gt;1,"Duplicate","OK")</f>
        <v>OK</v>
      </c>
      <c r="AD11" s="27" t="str">
        <f aca="false">IF(G11&lt;F11,"Review before onboarding",IF(F11&gt;Assumptions!$B$4,"Future onboarding","OK"))</f>
        <v>OK</v>
      </c>
      <c r="AE11" s="27" t="n">
        <f aca="false">(P11&gt;0)+(Q11&gt;0)+(X11&lt;&gt;"OK")+(AC11&lt;&gt;"OK")+(AD11&lt;&gt;"OK")+(AA11="Overdue")</f>
        <v>0</v>
      </c>
    </row>
    <row r="12" customFormat="false" ht="15" hidden="false" customHeight="false" outlineLevel="0" collapsed="false">
      <c r="A12" s="27" t="s">
        <v>239</v>
      </c>
      <c r="B12" s="27" t="s">
        <v>240</v>
      </c>
      <c r="C12" s="27" t="s">
        <v>151</v>
      </c>
      <c r="D12" s="27" t="s">
        <v>181</v>
      </c>
      <c r="E12" s="27" t="s">
        <v>182</v>
      </c>
      <c r="F12" s="28" t="n">
        <v>44124</v>
      </c>
      <c r="G12" s="28" t="n">
        <v>45561</v>
      </c>
      <c r="H12" s="27" t="s">
        <v>72</v>
      </c>
      <c r="I12" s="27" t="s">
        <v>218</v>
      </c>
      <c r="J12" s="27" t="s">
        <v>218</v>
      </c>
      <c r="K12" s="27" t="s">
        <v>218</v>
      </c>
      <c r="L12" s="27" t="s">
        <v>218</v>
      </c>
      <c r="M12" s="27" t="s">
        <v>219</v>
      </c>
      <c r="N12" s="27" t="s">
        <v>220</v>
      </c>
      <c r="O12" s="29" t="n">
        <v>0</v>
      </c>
      <c r="P12" s="27" t="n">
        <f aca="false">4-COUNTIF(I12:L12,"Y")</f>
        <v>0</v>
      </c>
      <c r="Q12" s="27" t="n">
        <f aca="false">COUNTBLANK(A12:O12)</f>
        <v>0</v>
      </c>
      <c r="R12" s="27" t="str">
        <f aca="false">IF(P12&gt;0,"Incomplete - Docs",IF(M12&lt;&gt;"Clear","Incomplete - Screening","Complete"))</f>
        <v>Complete</v>
      </c>
      <c r="S12" s="27" t="n">
        <f aca="false">IFERROR(INDEX(Assumptions!$B$22:$B$39,MATCH(D12,Assumptions!$A$22:$A$39,0)),0)</f>
        <v>2</v>
      </c>
      <c r="T12" s="27" t="n">
        <f aca="false">IFERROR(INDEX(Assumptions!$F$22:$F$35,MATCH(E12,Assumptions!$E$22:$E$35,0)),0)</f>
        <v>3</v>
      </c>
      <c r="U12" s="27" t="n">
        <f aca="false">IFERROR(INDEX(Assumptions!$I$22:$I$25,MATCH(C12,Assumptions!$H$22:$H$25,0)),0)</f>
        <v>0</v>
      </c>
      <c r="V12" s="27" t="n">
        <f aca="false">S12+T12+U12+IF(N12="Y",Assumptions!$B$16,0)</f>
        <v>5</v>
      </c>
      <c r="W12" s="27" t="str">
        <f aca="false">IF(V12&gt;=Assumptions!$B$14,"High",IF(V12&gt;=Assumptions!$B$15,"Medium","Low"))</f>
        <v>Medium</v>
      </c>
      <c r="X12" s="27" t="str">
        <f aca="false">IF(H12=W12,"OK",IF(((H12="High")*3+(H12="Medium")*2+(H12="Low"))&lt;((W12="High")*3+(W12="Medium")*2+(W12="Low")),"Under-rated","Over-rated"))</f>
        <v>OK</v>
      </c>
      <c r="Y12" s="27" t="n">
        <f aca="false">INDEX(Assumptions!$L$22:$L$24,MATCH(H12,Assumptions!$K$22:$K$24,0))</f>
        <v>2</v>
      </c>
      <c r="Z12" s="28" t="n">
        <f aca="false">EDATE(G12,12*Y12)</f>
        <v>46291</v>
      </c>
      <c r="AA12" s="27" t="str">
        <f aca="false">IF(Z12&lt;Assumptions!$B$4,"Overdue",IF(Z12&lt;=Assumptions!$B$4+60,"Due within 60 days","Current"))</f>
        <v>Overdue</v>
      </c>
      <c r="AB12" s="27" t="n">
        <f aca="false">MAX(0,Assumptions!$B$4-Z12)</f>
        <v>30</v>
      </c>
      <c r="AC12" s="27" t="str">
        <f aca="false">IF(COUNTIF($B$2:$B$41,B12)&gt;1,"Duplicate","OK")</f>
        <v>OK</v>
      </c>
      <c r="AD12" s="27" t="str">
        <f aca="false">IF(G12&lt;F12,"Review before onboarding",IF(F12&gt;Assumptions!$B$4,"Future onboarding","OK"))</f>
        <v>OK</v>
      </c>
      <c r="AE12" s="27" t="n">
        <f aca="false">(P12&gt;0)+(Q12&gt;0)+(X12&lt;&gt;"OK")+(AC12&lt;&gt;"OK")+(AD12&lt;&gt;"OK")+(AA12="Overdue")</f>
        <v>1</v>
      </c>
    </row>
    <row r="13" customFormat="false" ht="15" hidden="false" customHeight="false" outlineLevel="0" collapsed="false">
      <c r="A13" s="27" t="s">
        <v>241</v>
      </c>
      <c r="B13" s="27" t="s">
        <v>242</v>
      </c>
      <c r="C13" s="27" t="s">
        <v>151</v>
      </c>
      <c r="D13" s="27" t="s">
        <v>148</v>
      </c>
      <c r="E13" s="27" t="s">
        <v>162</v>
      </c>
      <c r="F13" s="28" t="n">
        <v>45793</v>
      </c>
      <c r="G13" s="28" t="n">
        <v>46199</v>
      </c>
      <c r="H13" s="27" t="s">
        <v>73</v>
      </c>
      <c r="I13" s="27" t="s">
        <v>218</v>
      </c>
      <c r="J13" s="27" t="s">
        <v>218</v>
      </c>
      <c r="K13" s="27" t="s">
        <v>218</v>
      </c>
      <c r="L13" s="27" t="s">
        <v>218</v>
      </c>
      <c r="M13" s="27" t="s">
        <v>219</v>
      </c>
      <c r="N13" s="27" t="s">
        <v>220</v>
      </c>
      <c r="O13" s="29" t="n">
        <v>45000</v>
      </c>
      <c r="P13" s="27" t="n">
        <f aca="false">4-COUNTIF(I13:L13,"Y")</f>
        <v>0</v>
      </c>
      <c r="Q13" s="27" t="n">
        <f aca="false">COUNTBLANK(A13:O13)</f>
        <v>0</v>
      </c>
      <c r="R13" s="27" t="str">
        <f aca="false">IF(P13&gt;0,"Incomplete - Docs",IF(M13&lt;&gt;"Clear","Incomplete - Screening","Complete"))</f>
        <v>Complete</v>
      </c>
      <c r="S13" s="27" t="n">
        <f aca="false">IFERROR(INDEX(Assumptions!$B$22:$B$39,MATCH(D13,Assumptions!$A$22:$A$39,0)),0)</f>
        <v>0</v>
      </c>
      <c r="T13" s="27" t="n">
        <f aca="false">IFERROR(INDEX(Assumptions!$F$22:$F$35,MATCH(E13,Assumptions!$E$22:$E$35,0)),0)</f>
        <v>1</v>
      </c>
      <c r="U13" s="27" t="n">
        <f aca="false">IFERROR(INDEX(Assumptions!$I$22:$I$25,MATCH(C13,Assumptions!$H$22:$H$25,0)),0)</f>
        <v>0</v>
      </c>
      <c r="V13" s="27" t="n">
        <f aca="false">S13+T13+U13+IF(N13="Y",Assumptions!$B$16,0)</f>
        <v>1</v>
      </c>
      <c r="W13" s="27" t="str">
        <f aca="false">IF(V13&gt;=Assumptions!$B$14,"High",IF(V13&gt;=Assumptions!$B$15,"Medium","Low"))</f>
        <v>Low</v>
      </c>
      <c r="X13" s="27" t="str">
        <f aca="false">IF(H13=W13,"OK",IF(((H13="High")*3+(H13="Medium")*2+(H13="Low"))&lt;((W13="High")*3+(W13="Medium")*2+(W13="Low")),"Under-rated","Over-rated"))</f>
        <v>OK</v>
      </c>
      <c r="Y13" s="27" t="n">
        <f aca="false">INDEX(Assumptions!$L$22:$L$24,MATCH(H13,Assumptions!$K$22:$K$24,0))</f>
        <v>3</v>
      </c>
      <c r="Z13" s="28" t="n">
        <f aca="false">EDATE(G13,12*Y13)</f>
        <v>47295</v>
      </c>
      <c r="AA13" s="27" t="str">
        <f aca="false">IF(Z13&lt;Assumptions!$B$4,"Overdue",IF(Z13&lt;=Assumptions!$B$4+60,"Due within 60 days","Current"))</f>
        <v>Current</v>
      </c>
      <c r="AB13" s="27" t="n">
        <f aca="false">MAX(0,Assumptions!$B$4-Z13)</f>
        <v>0</v>
      </c>
      <c r="AC13" s="27" t="str">
        <f aca="false">IF(COUNTIF($B$2:$B$41,B13)&gt;1,"Duplicate","OK")</f>
        <v>OK</v>
      </c>
      <c r="AD13" s="27" t="str">
        <f aca="false">IF(G13&lt;F13,"Review before onboarding",IF(F13&gt;Assumptions!$B$4,"Future onboarding","OK"))</f>
        <v>OK</v>
      </c>
      <c r="AE13" s="27" t="n">
        <f aca="false">(P13&gt;0)+(Q13&gt;0)+(X13&lt;&gt;"OK")+(AC13&lt;&gt;"OK")+(AD13&lt;&gt;"OK")+(AA13="Overdue")</f>
        <v>0</v>
      </c>
    </row>
    <row r="14" customFormat="false" ht="15" hidden="false" customHeight="false" outlineLevel="0" collapsed="false">
      <c r="A14" s="27" t="s">
        <v>243</v>
      </c>
      <c r="B14" s="27" t="s">
        <v>244</v>
      </c>
      <c r="C14" s="27" t="s">
        <v>151</v>
      </c>
      <c r="D14" s="27" t="s">
        <v>165</v>
      </c>
      <c r="E14" s="27" t="s">
        <v>153</v>
      </c>
      <c r="F14" s="28" t="n">
        <v>44743</v>
      </c>
      <c r="G14" s="28" t="n">
        <v>45123</v>
      </c>
      <c r="H14" s="27" t="s">
        <v>73</v>
      </c>
      <c r="I14" s="27" t="s">
        <v>218</v>
      </c>
      <c r="J14" s="27" t="s">
        <v>218</v>
      </c>
      <c r="K14" s="27" t="s">
        <v>218</v>
      </c>
      <c r="L14" s="27" t="s">
        <v>218</v>
      </c>
      <c r="M14" s="27" t="s">
        <v>219</v>
      </c>
      <c r="N14" s="27" t="s">
        <v>220</v>
      </c>
      <c r="O14" s="29" t="n">
        <v>0</v>
      </c>
      <c r="P14" s="27" t="n">
        <f aca="false">4-COUNTIF(I14:L14,"Y")</f>
        <v>0</v>
      </c>
      <c r="Q14" s="27" t="n">
        <f aca="false">COUNTBLANK(A14:O14)</f>
        <v>0</v>
      </c>
      <c r="R14" s="27" t="str">
        <f aca="false">IF(P14&gt;0,"Incomplete - Docs",IF(M14&lt;&gt;"Clear","Incomplete - Screening","Complete"))</f>
        <v>Complete</v>
      </c>
      <c r="S14" s="27" t="n">
        <f aca="false">IFERROR(INDEX(Assumptions!$B$22:$B$39,MATCH(D14,Assumptions!$A$22:$A$39,0)),0)</f>
        <v>0</v>
      </c>
      <c r="T14" s="27" t="n">
        <f aca="false">IFERROR(INDEX(Assumptions!$F$22:$F$35,MATCH(E14,Assumptions!$E$22:$E$35,0)),0)</f>
        <v>0</v>
      </c>
      <c r="U14" s="27" t="n">
        <f aca="false">IFERROR(INDEX(Assumptions!$I$22:$I$25,MATCH(C14,Assumptions!$H$22:$H$25,0)),0)</f>
        <v>0</v>
      </c>
      <c r="V14" s="27" t="n">
        <f aca="false">S14+T14+U14+IF(N14="Y",Assumptions!$B$16,0)</f>
        <v>0</v>
      </c>
      <c r="W14" s="27" t="str">
        <f aca="false">IF(V14&gt;=Assumptions!$B$14,"High",IF(V14&gt;=Assumptions!$B$15,"Medium","Low"))</f>
        <v>Low</v>
      </c>
      <c r="X14" s="27" t="str">
        <f aca="false">IF(H14=W14,"OK",IF(((H14="High")*3+(H14="Medium")*2+(H14="Low"))&lt;((W14="High")*3+(W14="Medium")*2+(W14="Low")),"Under-rated","Over-rated"))</f>
        <v>OK</v>
      </c>
      <c r="Y14" s="27" t="n">
        <f aca="false">INDEX(Assumptions!$L$22:$L$24,MATCH(H14,Assumptions!$K$22:$K$24,0))</f>
        <v>3</v>
      </c>
      <c r="Z14" s="28" t="n">
        <f aca="false">EDATE(G14,12*Y14)</f>
        <v>46219</v>
      </c>
      <c r="AA14" s="27" t="str">
        <f aca="false">IF(Z14&lt;Assumptions!$B$4,"Overdue",IF(Z14&lt;=Assumptions!$B$4+60,"Due within 60 days","Current"))</f>
        <v>Overdue</v>
      </c>
      <c r="AB14" s="27" t="n">
        <f aca="false">MAX(0,Assumptions!$B$4-Z14)</f>
        <v>102</v>
      </c>
      <c r="AC14" s="27" t="str">
        <f aca="false">IF(COUNTIF($B$2:$B$41,B14)&gt;1,"Duplicate","OK")</f>
        <v>OK</v>
      </c>
      <c r="AD14" s="27" t="str">
        <f aca="false">IF(G14&lt;F14,"Review before onboarding",IF(F14&gt;Assumptions!$B$4,"Future onboarding","OK"))</f>
        <v>OK</v>
      </c>
      <c r="AE14" s="27" t="n">
        <f aca="false">(P14&gt;0)+(Q14&gt;0)+(X14&lt;&gt;"OK")+(AC14&lt;&gt;"OK")+(AD14&lt;&gt;"OK")+(AA14="Overdue")</f>
        <v>1</v>
      </c>
    </row>
    <row r="15" customFormat="false" ht="15" hidden="false" customHeight="false" outlineLevel="0" collapsed="false">
      <c r="A15" s="27" t="s">
        <v>245</v>
      </c>
      <c r="B15" s="27" t="s">
        <v>246</v>
      </c>
      <c r="C15" s="27" t="s">
        <v>151</v>
      </c>
      <c r="D15" s="27" t="s">
        <v>167</v>
      </c>
      <c r="E15" s="27" t="s">
        <v>156</v>
      </c>
      <c r="F15" s="28" t="n">
        <v>45618</v>
      </c>
      <c r="G15" s="28" t="n">
        <v>45821</v>
      </c>
      <c r="H15" s="27" t="s">
        <v>73</v>
      </c>
      <c r="I15" s="27" t="s">
        <v>218</v>
      </c>
      <c r="J15" s="27" t="s">
        <v>218</v>
      </c>
      <c r="K15" s="27" t="s">
        <v>218</v>
      </c>
      <c r="L15" s="27" t="s">
        <v>218</v>
      </c>
      <c r="M15" s="27" t="s">
        <v>219</v>
      </c>
      <c r="N15" s="27" t="s">
        <v>220</v>
      </c>
      <c r="O15" s="29" t="n">
        <v>0</v>
      </c>
      <c r="P15" s="27" t="n">
        <f aca="false">4-COUNTIF(I15:L15,"Y")</f>
        <v>0</v>
      </c>
      <c r="Q15" s="27" t="n">
        <f aca="false">COUNTBLANK(A15:O15)</f>
        <v>0</v>
      </c>
      <c r="R15" s="27" t="str">
        <f aca="false">IF(P15&gt;0,"Incomplete - Docs",IF(M15&lt;&gt;"Clear","Incomplete - Screening","Complete"))</f>
        <v>Complete</v>
      </c>
      <c r="S15" s="27" t="n">
        <f aca="false">IFERROR(INDEX(Assumptions!$B$22:$B$39,MATCH(D15,Assumptions!$A$22:$A$39,0)),0)</f>
        <v>0</v>
      </c>
      <c r="T15" s="27" t="n">
        <f aca="false">IFERROR(INDEX(Assumptions!$F$22:$F$35,MATCH(E15,Assumptions!$E$22:$E$35,0)),0)</f>
        <v>0</v>
      </c>
      <c r="U15" s="27" t="n">
        <f aca="false">IFERROR(INDEX(Assumptions!$I$22:$I$25,MATCH(C15,Assumptions!$H$22:$H$25,0)),0)</f>
        <v>0</v>
      </c>
      <c r="V15" s="27" t="n">
        <f aca="false">S15+T15+U15+IF(N15="Y",Assumptions!$B$16,0)</f>
        <v>0</v>
      </c>
      <c r="W15" s="27" t="str">
        <f aca="false">IF(V15&gt;=Assumptions!$B$14,"High",IF(V15&gt;=Assumptions!$B$15,"Medium","Low"))</f>
        <v>Low</v>
      </c>
      <c r="X15" s="27" t="str">
        <f aca="false">IF(H15=W15,"OK",IF(((H15="High")*3+(H15="Medium")*2+(H15="Low"))&lt;((W15="High")*3+(W15="Medium")*2+(W15="Low")),"Under-rated","Over-rated"))</f>
        <v>OK</v>
      </c>
      <c r="Y15" s="27" t="n">
        <f aca="false">INDEX(Assumptions!$L$22:$L$24,MATCH(H15,Assumptions!$K$22:$K$24,0))</f>
        <v>3</v>
      </c>
      <c r="Z15" s="28" t="n">
        <f aca="false">EDATE(G15,12*Y15)</f>
        <v>46917</v>
      </c>
      <c r="AA15" s="27" t="str">
        <f aca="false">IF(Z15&lt;Assumptions!$B$4,"Overdue",IF(Z15&lt;=Assumptions!$B$4+60,"Due within 60 days","Current"))</f>
        <v>Current</v>
      </c>
      <c r="AB15" s="27" t="n">
        <f aca="false">MAX(0,Assumptions!$B$4-Z15)</f>
        <v>0</v>
      </c>
      <c r="AC15" s="27" t="str">
        <f aca="false">IF(COUNTIF($B$2:$B$41,B15)&gt;1,"Duplicate","OK")</f>
        <v>OK</v>
      </c>
      <c r="AD15" s="27" t="str">
        <f aca="false">IF(G15&lt;F15,"Review before onboarding",IF(F15&gt;Assumptions!$B$4,"Future onboarding","OK"))</f>
        <v>OK</v>
      </c>
      <c r="AE15" s="27" t="n">
        <f aca="false">(P15&gt;0)+(Q15&gt;0)+(X15&lt;&gt;"OK")+(AC15&lt;&gt;"OK")+(AD15&lt;&gt;"OK")+(AA15="Overdue")</f>
        <v>0</v>
      </c>
    </row>
    <row r="16" customFormat="false" ht="15" hidden="false" customHeight="false" outlineLevel="0" collapsed="false">
      <c r="A16" s="27" t="s">
        <v>247</v>
      </c>
      <c r="B16" s="27" t="s">
        <v>248</v>
      </c>
      <c r="C16" s="27" t="s">
        <v>157</v>
      </c>
      <c r="D16" s="27" t="s">
        <v>152</v>
      </c>
      <c r="E16" s="27" t="s">
        <v>159</v>
      </c>
      <c r="F16" s="28" t="n">
        <v>44208</v>
      </c>
      <c r="G16" s="28" t="n">
        <v>45779</v>
      </c>
      <c r="H16" s="27" t="s">
        <v>72</v>
      </c>
      <c r="I16" s="27" t="s">
        <v>218</v>
      </c>
      <c r="J16" s="27" t="s">
        <v>218</v>
      </c>
      <c r="K16" s="27" t="s">
        <v>218</v>
      </c>
      <c r="L16" s="27" t="s">
        <v>218</v>
      </c>
      <c r="M16" s="27" t="s">
        <v>219</v>
      </c>
      <c r="N16" s="27" t="s">
        <v>218</v>
      </c>
      <c r="O16" s="29" t="n">
        <v>0</v>
      </c>
      <c r="P16" s="27" t="n">
        <f aca="false">4-COUNTIF(I16:L16,"Y")</f>
        <v>0</v>
      </c>
      <c r="Q16" s="27" t="n">
        <f aca="false">COUNTBLANK(A16:O16)</f>
        <v>0</v>
      </c>
      <c r="R16" s="27" t="str">
        <f aca="false">IF(P16&gt;0,"Incomplete - Docs",IF(M16&lt;&gt;"Clear","Incomplete - Screening","Complete"))</f>
        <v>Complete</v>
      </c>
      <c r="S16" s="27" t="n">
        <f aca="false">IFERROR(INDEX(Assumptions!$B$22:$B$39,MATCH(D16,Assumptions!$A$22:$A$39,0)),0)</f>
        <v>0</v>
      </c>
      <c r="T16" s="27" t="n">
        <f aca="false">IFERROR(INDEX(Assumptions!$F$22:$F$35,MATCH(E16,Assumptions!$E$22:$E$35,0)),0)</f>
        <v>1</v>
      </c>
      <c r="U16" s="27" t="n">
        <f aca="false">IFERROR(INDEX(Assumptions!$I$22:$I$25,MATCH(C16,Assumptions!$H$22:$H$25,0)),0)</f>
        <v>1</v>
      </c>
      <c r="V16" s="27" t="n">
        <f aca="false">S16+T16+U16+IF(N16="Y",Assumptions!$B$16,0)</f>
        <v>5</v>
      </c>
      <c r="W16" s="27" t="str">
        <f aca="false">IF(V16&gt;=Assumptions!$B$14,"High",IF(V16&gt;=Assumptions!$B$15,"Medium","Low"))</f>
        <v>Medium</v>
      </c>
      <c r="X16" s="27" t="str">
        <f aca="false">IF(H16=W16,"OK",IF(((H16="High")*3+(H16="Medium")*2+(H16="Low"))&lt;((W16="High")*3+(W16="Medium")*2+(W16="Low")),"Under-rated","Over-rated"))</f>
        <v>OK</v>
      </c>
      <c r="Y16" s="27" t="n">
        <f aca="false">INDEX(Assumptions!$L$22:$L$24,MATCH(H16,Assumptions!$K$22:$K$24,0))</f>
        <v>2</v>
      </c>
      <c r="Z16" s="28" t="n">
        <f aca="false">EDATE(G16,12*Y16)</f>
        <v>46509</v>
      </c>
      <c r="AA16" s="27" t="str">
        <f aca="false">IF(Z16&lt;Assumptions!$B$4,"Overdue",IF(Z16&lt;=Assumptions!$B$4+60,"Due within 60 days","Current"))</f>
        <v>Current</v>
      </c>
      <c r="AB16" s="27" t="n">
        <f aca="false">MAX(0,Assumptions!$B$4-Z16)</f>
        <v>0</v>
      </c>
      <c r="AC16" s="27" t="str">
        <f aca="false">IF(COUNTIF($B$2:$B$41,B16)&gt;1,"Duplicate","OK")</f>
        <v>OK</v>
      </c>
      <c r="AD16" s="27" t="str">
        <f aca="false">IF(G16&lt;F16,"Review before onboarding",IF(F16&gt;Assumptions!$B$4,"Future onboarding","OK"))</f>
        <v>OK</v>
      </c>
      <c r="AE16" s="27" t="n">
        <f aca="false">(P16&gt;0)+(Q16&gt;0)+(X16&lt;&gt;"OK")+(AC16&lt;&gt;"OK")+(AD16&lt;&gt;"OK")+(AA16="Overdue")</f>
        <v>0</v>
      </c>
    </row>
    <row r="17" customFormat="false" ht="15" hidden="false" customHeight="false" outlineLevel="0" collapsed="false">
      <c r="A17" s="27" t="s">
        <v>249</v>
      </c>
      <c r="B17" s="27" t="s">
        <v>250</v>
      </c>
      <c r="C17" s="27" t="s">
        <v>151</v>
      </c>
      <c r="D17" s="27" t="s">
        <v>148</v>
      </c>
      <c r="E17" s="27" t="s">
        <v>150</v>
      </c>
      <c r="F17" s="28" t="n">
        <v>45350</v>
      </c>
      <c r="G17" s="28" t="n">
        <v>45960</v>
      </c>
      <c r="H17" s="27" t="s">
        <v>73</v>
      </c>
      <c r="I17" s="27" t="s">
        <v>218</v>
      </c>
      <c r="J17" s="27" t="s">
        <v>218</v>
      </c>
      <c r="K17" s="27" t="s">
        <v>218</v>
      </c>
      <c r="L17" s="27" t="s">
        <v>218</v>
      </c>
      <c r="M17" s="27" t="s">
        <v>219</v>
      </c>
      <c r="N17" s="27" t="s">
        <v>220</v>
      </c>
      <c r="O17" s="29" t="n">
        <v>0</v>
      </c>
      <c r="P17" s="27" t="n">
        <f aca="false">4-COUNTIF(I17:L17,"Y")</f>
        <v>0</v>
      </c>
      <c r="Q17" s="27" t="n">
        <f aca="false">COUNTBLANK(A17:O17)</f>
        <v>0</v>
      </c>
      <c r="R17" s="27" t="str">
        <f aca="false">IF(P17&gt;0,"Incomplete - Docs",IF(M17&lt;&gt;"Clear","Incomplete - Screening","Complete"))</f>
        <v>Complete</v>
      </c>
      <c r="S17" s="27" t="n">
        <f aca="false">IFERROR(INDEX(Assumptions!$B$22:$B$39,MATCH(D17,Assumptions!$A$22:$A$39,0)),0)</f>
        <v>0</v>
      </c>
      <c r="T17" s="27" t="n">
        <f aca="false">IFERROR(INDEX(Assumptions!$F$22:$F$35,MATCH(E17,Assumptions!$E$22:$E$35,0)),0)</f>
        <v>0</v>
      </c>
      <c r="U17" s="27" t="n">
        <f aca="false">IFERROR(INDEX(Assumptions!$I$22:$I$25,MATCH(C17,Assumptions!$H$22:$H$25,0)),0)</f>
        <v>0</v>
      </c>
      <c r="V17" s="27" t="n">
        <f aca="false">S17+T17+U17+IF(N17="Y",Assumptions!$B$16,0)</f>
        <v>0</v>
      </c>
      <c r="W17" s="27" t="str">
        <f aca="false">IF(V17&gt;=Assumptions!$B$14,"High",IF(V17&gt;=Assumptions!$B$15,"Medium","Low"))</f>
        <v>Low</v>
      </c>
      <c r="X17" s="27" t="str">
        <f aca="false">IF(H17=W17,"OK",IF(((H17="High")*3+(H17="Medium")*2+(H17="Low"))&lt;((W17="High")*3+(W17="Medium")*2+(W17="Low")),"Under-rated","Over-rated"))</f>
        <v>OK</v>
      </c>
      <c r="Y17" s="27" t="n">
        <f aca="false">INDEX(Assumptions!$L$22:$L$24,MATCH(H17,Assumptions!$K$22:$K$24,0))</f>
        <v>3</v>
      </c>
      <c r="Z17" s="28" t="n">
        <f aca="false">EDATE(G17,12*Y17)</f>
        <v>47056</v>
      </c>
      <c r="AA17" s="27" t="str">
        <f aca="false">IF(Z17&lt;Assumptions!$B$4,"Overdue",IF(Z17&lt;=Assumptions!$B$4+60,"Due within 60 days","Current"))</f>
        <v>Current</v>
      </c>
      <c r="AB17" s="27" t="n">
        <f aca="false">MAX(0,Assumptions!$B$4-Z17)</f>
        <v>0</v>
      </c>
      <c r="AC17" s="27" t="str">
        <f aca="false">IF(COUNTIF($B$2:$B$41,B17)&gt;1,"Duplicate","OK")</f>
        <v>OK</v>
      </c>
      <c r="AD17" s="27" t="str">
        <f aca="false">IF(G17&lt;F17,"Review before onboarding",IF(F17&gt;Assumptions!$B$4,"Future onboarding","OK"))</f>
        <v>OK</v>
      </c>
      <c r="AE17" s="27" t="n">
        <f aca="false">(P17&gt;0)+(Q17&gt;0)+(X17&lt;&gt;"OK")+(AC17&lt;&gt;"OK")+(AD17&lt;&gt;"OK")+(AA17="Overdue")</f>
        <v>0</v>
      </c>
    </row>
    <row r="18" customFormat="false" ht="15" hidden="false" customHeight="false" outlineLevel="0" collapsed="false">
      <c r="A18" s="27" t="s">
        <v>251</v>
      </c>
      <c r="B18" s="27" t="s">
        <v>252</v>
      </c>
      <c r="C18" s="27" t="s">
        <v>160</v>
      </c>
      <c r="D18" s="27" t="s">
        <v>155</v>
      </c>
      <c r="E18" s="27" t="s">
        <v>173</v>
      </c>
      <c r="F18" s="28" t="n">
        <v>45180</v>
      </c>
      <c r="G18" s="28" t="n">
        <v>45875</v>
      </c>
      <c r="H18" s="27" t="s">
        <v>72</v>
      </c>
      <c r="I18" s="27" t="s">
        <v>218</v>
      </c>
      <c r="J18" s="27" t="s">
        <v>220</v>
      </c>
      <c r="K18" s="27" t="s">
        <v>218</v>
      </c>
      <c r="L18" s="27" t="s">
        <v>218</v>
      </c>
      <c r="M18" s="27" t="s">
        <v>219</v>
      </c>
      <c r="N18" s="27" t="s">
        <v>220</v>
      </c>
      <c r="O18" s="29" t="n">
        <v>0</v>
      </c>
      <c r="P18" s="27" t="n">
        <f aca="false">4-COUNTIF(I18:L18,"Y")</f>
        <v>1</v>
      </c>
      <c r="Q18" s="27" t="n">
        <f aca="false">COUNTBLANK(A18:O18)</f>
        <v>0</v>
      </c>
      <c r="R18" s="27" t="str">
        <f aca="false">IF(P18&gt;0,"Incomplete - Docs",IF(M18&lt;&gt;"Clear","Incomplete - Screening","Complete"))</f>
        <v>Incomplete - Docs</v>
      </c>
      <c r="S18" s="27" t="n">
        <f aca="false">IFERROR(INDEX(Assumptions!$B$22:$B$39,MATCH(D18,Assumptions!$A$22:$A$39,0)),0)</f>
        <v>0</v>
      </c>
      <c r="T18" s="27" t="n">
        <f aca="false">IFERROR(INDEX(Assumptions!$F$22:$F$35,MATCH(E18,Assumptions!$E$22:$E$35,0)),0)</f>
        <v>2</v>
      </c>
      <c r="U18" s="27" t="n">
        <f aca="false">IFERROR(INDEX(Assumptions!$I$22:$I$25,MATCH(C18,Assumptions!$H$22:$H$25,0)),0)</f>
        <v>1</v>
      </c>
      <c r="V18" s="27" t="n">
        <f aca="false">S18+T18+U18+IF(N18="Y",Assumptions!$B$16,0)</f>
        <v>3</v>
      </c>
      <c r="W18" s="27" t="str">
        <f aca="false">IF(V18&gt;=Assumptions!$B$14,"High",IF(V18&gt;=Assumptions!$B$15,"Medium","Low"))</f>
        <v>Medium</v>
      </c>
      <c r="X18" s="27" t="str">
        <f aca="false">IF(H18=W18,"OK",IF(((H18="High")*3+(H18="Medium")*2+(H18="Low"))&lt;((W18="High")*3+(W18="Medium")*2+(W18="Low")),"Under-rated","Over-rated"))</f>
        <v>OK</v>
      </c>
      <c r="Y18" s="27" t="n">
        <f aca="false">INDEX(Assumptions!$L$22:$L$24,MATCH(H18,Assumptions!$K$22:$K$24,0))</f>
        <v>2</v>
      </c>
      <c r="Z18" s="28" t="n">
        <f aca="false">EDATE(G18,12*Y18)</f>
        <v>46605</v>
      </c>
      <c r="AA18" s="27" t="str">
        <f aca="false">IF(Z18&lt;Assumptions!$B$4,"Overdue",IF(Z18&lt;=Assumptions!$B$4+60,"Due within 60 days","Current"))</f>
        <v>Current</v>
      </c>
      <c r="AB18" s="27" t="n">
        <f aca="false">MAX(0,Assumptions!$B$4-Z18)</f>
        <v>0</v>
      </c>
      <c r="AC18" s="27" t="str">
        <f aca="false">IF(COUNTIF($B$2:$B$41,B18)&gt;1,"Duplicate","OK")</f>
        <v>OK</v>
      </c>
      <c r="AD18" s="27" t="str">
        <f aca="false">IF(G18&lt;F18,"Review before onboarding",IF(F18&gt;Assumptions!$B$4,"Future onboarding","OK"))</f>
        <v>OK</v>
      </c>
      <c r="AE18" s="27" t="n">
        <f aca="false">(P18&gt;0)+(Q18&gt;0)+(X18&lt;&gt;"OK")+(AC18&lt;&gt;"OK")+(AD18&lt;&gt;"OK")+(AA18="Overdue")</f>
        <v>1</v>
      </c>
    </row>
    <row r="19" customFormat="false" ht="15" hidden="false" customHeight="false" outlineLevel="0" collapsed="false">
      <c r="A19" s="27" t="s">
        <v>253</v>
      </c>
      <c r="B19" s="27" t="s">
        <v>254</v>
      </c>
      <c r="C19" s="27" t="s">
        <v>151</v>
      </c>
      <c r="D19" s="27" t="s">
        <v>155</v>
      </c>
      <c r="E19" s="27" t="s">
        <v>164</v>
      </c>
      <c r="F19" s="28" t="n">
        <v>45015</v>
      </c>
      <c r="G19" s="28" t="n">
        <v>45925</v>
      </c>
      <c r="H19" s="27" t="s">
        <v>73</v>
      </c>
      <c r="I19" s="27" t="s">
        <v>218</v>
      </c>
      <c r="J19" s="27" t="s">
        <v>218</v>
      </c>
      <c r="K19" s="27" t="s">
        <v>218</v>
      </c>
      <c r="L19" s="27" t="s">
        <v>218</v>
      </c>
      <c r="M19" s="27" t="s">
        <v>219</v>
      </c>
      <c r="N19" s="27" t="s">
        <v>220</v>
      </c>
      <c r="O19" s="29" t="n">
        <v>0</v>
      </c>
      <c r="P19" s="27" t="n">
        <f aca="false">4-COUNTIF(I19:L19,"Y")</f>
        <v>0</v>
      </c>
      <c r="Q19" s="27" t="n">
        <f aca="false">COUNTBLANK(A19:O19)</f>
        <v>0</v>
      </c>
      <c r="R19" s="27" t="str">
        <f aca="false">IF(P19&gt;0,"Incomplete - Docs",IF(M19&lt;&gt;"Clear","Incomplete - Screening","Complete"))</f>
        <v>Complete</v>
      </c>
      <c r="S19" s="27" t="n">
        <f aca="false">IFERROR(INDEX(Assumptions!$B$22:$B$39,MATCH(D19,Assumptions!$A$22:$A$39,0)),0)</f>
        <v>0</v>
      </c>
      <c r="T19" s="27" t="n">
        <f aca="false">IFERROR(INDEX(Assumptions!$F$22:$F$35,MATCH(E19,Assumptions!$E$22:$E$35,0)),0)</f>
        <v>1</v>
      </c>
      <c r="U19" s="27" t="n">
        <f aca="false">IFERROR(INDEX(Assumptions!$I$22:$I$25,MATCH(C19,Assumptions!$H$22:$H$25,0)),0)</f>
        <v>0</v>
      </c>
      <c r="V19" s="27" t="n">
        <f aca="false">S19+T19+U19+IF(N19="Y",Assumptions!$B$16,0)</f>
        <v>1</v>
      </c>
      <c r="W19" s="27" t="str">
        <f aca="false">IF(V19&gt;=Assumptions!$B$14,"High",IF(V19&gt;=Assumptions!$B$15,"Medium","Low"))</f>
        <v>Low</v>
      </c>
      <c r="X19" s="27" t="str">
        <f aca="false">IF(H19=W19,"OK",IF(((H19="High")*3+(H19="Medium")*2+(H19="Low"))&lt;((W19="High")*3+(W19="Medium")*2+(W19="Low")),"Under-rated","Over-rated"))</f>
        <v>OK</v>
      </c>
      <c r="Y19" s="27" t="n">
        <f aca="false">INDEX(Assumptions!$L$22:$L$24,MATCH(H19,Assumptions!$K$22:$K$24,0))</f>
        <v>3</v>
      </c>
      <c r="Z19" s="28" t="n">
        <f aca="false">EDATE(G19,12*Y19)</f>
        <v>47021</v>
      </c>
      <c r="AA19" s="27" t="str">
        <f aca="false">IF(Z19&lt;Assumptions!$B$4,"Overdue",IF(Z19&lt;=Assumptions!$B$4+60,"Due within 60 days","Current"))</f>
        <v>Current</v>
      </c>
      <c r="AB19" s="27" t="n">
        <f aca="false">MAX(0,Assumptions!$B$4-Z19)</f>
        <v>0</v>
      </c>
      <c r="AC19" s="27" t="str">
        <f aca="false">IF(COUNTIF($B$2:$B$41,B19)&gt;1,"Duplicate","OK")</f>
        <v>OK</v>
      </c>
      <c r="AD19" s="27" t="str">
        <f aca="false">IF(G19&lt;F19,"Review before onboarding",IF(F19&gt;Assumptions!$B$4,"Future onboarding","OK"))</f>
        <v>OK</v>
      </c>
      <c r="AE19" s="27" t="n">
        <f aca="false">(P19&gt;0)+(Q19&gt;0)+(X19&lt;&gt;"OK")+(AC19&lt;&gt;"OK")+(AD19&lt;&gt;"OK")+(AA19="Overdue")</f>
        <v>0</v>
      </c>
    </row>
    <row r="20" customFormat="false" ht="15" hidden="false" customHeight="false" outlineLevel="0" collapsed="false">
      <c r="A20" s="27" t="s">
        <v>255</v>
      </c>
      <c r="B20" s="27" t="s">
        <v>256</v>
      </c>
      <c r="C20" s="27" t="s">
        <v>151</v>
      </c>
      <c r="D20" s="27" t="s">
        <v>148</v>
      </c>
      <c r="E20" s="27" t="s">
        <v>162</v>
      </c>
      <c r="F20" s="28" t="n">
        <v>44507</v>
      </c>
      <c r="G20" s="28" t="n">
        <v>45457</v>
      </c>
      <c r="H20" s="27" t="s">
        <v>73</v>
      </c>
      <c r="I20" s="27" t="s">
        <v>218</v>
      </c>
      <c r="J20" s="27" t="s">
        <v>218</v>
      </c>
      <c r="K20" s="27" t="s">
        <v>218</v>
      </c>
      <c r="L20" s="27" t="s">
        <v>218</v>
      </c>
      <c r="M20" s="27" t="s">
        <v>219</v>
      </c>
      <c r="N20" s="27" t="s">
        <v>220</v>
      </c>
      <c r="O20" s="29" t="n">
        <v>30000</v>
      </c>
      <c r="P20" s="27" t="n">
        <f aca="false">4-COUNTIF(I20:L20,"Y")</f>
        <v>0</v>
      </c>
      <c r="Q20" s="27" t="n">
        <f aca="false">COUNTBLANK(A20:O20)</f>
        <v>0</v>
      </c>
      <c r="R20" s="27" t="str">
        <f aca="false">IF(P20&gt;0,"Incomplete - Docs",IF(M20&lt;&gt;"Clear","Incomplete - Screening","Complete"))</f>
        <v>Complete</v>
      </c>
      <c r="S20" s="27" t="n">
        <f aca="false">IFERROR(INDEX(Assumptions!$B$22:$B$39,MATCH(D20,Assumptions!$A$22:$A$39,0)),0)</f>
        <v>0</v>
      </c>
      <c r="T20" s="27" t="n">
        <f aca="false">IFERROR(INDEX(Assumptions!$F$22:$F$35,MATCH(E20,Assumptions!$E$22:$E$35,0)),0)</f>
        <v>1</v>
      </c>
      <c r="U20" s="27" t="n">
        <f aca="false">IFERROR(INDEX(Assumptions!$I$22:$I$25,MATCH(C20,Assumptions!$H$22:$H$25,0)),0)</f>
        <v>0</v>
      </c>
      <c r="V20" s="27" t="n">
        <f aca="false">S20+T20+U20+IF(N20="Y",Assumptions!$B$16,0)</f>
        <v>1</v>
      </c>
      <c r="W20" s="27" t="str">
        <f aca="false">IF(V20&gt;=Assumptions!$B$14,"High",IF(V20&gt;=Assumptions!$B$15,"Medium","Low"))</f>
        <v>Low</v>
      </c>
      <c r="X20" s="27" t="str">
        <f aca="false">IF(H20=W20,"OK",IF(((H20="High")*3+(H20="Medium")*2+(H20="Low"))&lt;((W20="High")*3+(W20="Medium")*2+(W20="Low")),"Under-rated","Over-rated"))</f>
        <v>OK</v>
      </c>
      <c r="Y20" s="27" t="n">
        <f aca="false">INDEX(Assumptions!$L$22:$L$24,MATCH(H20,Assumptions!$K$22:$K$24,0))</f>
        <v>3</v>
      </c>
      <c r="Z20" s="28" t="n">
        <f aca="false">EDATE(G20,12*Y20)</f>
        <v>46552</v>
      </c>
      <c r="AA20" s="27" t="str">
        <f aca="false">IF(Z20&lt;Assumptions!$B$4,"Overdue",IF(Z20&lt;=Assumptions!$B$4+60,"Due within 60 days","Current"))</f>
        <v>Current</v>
      </c>
      <c r="AB20" s="27" t="n">
        <f aca="false">MAX(0,Assumptions!$B$4-Z20)</f>
        <v>0</v>
      </c>
      <c r="AC20" s="27" t="str">
        <f aca="false">IF(COUNTIF($B$2:$B$41,B20)&gt;1,"Duplicate","OK")</f>
        <v>OK</v>
      </c>
      <c r="AD20" s="27" t="str">
        <f aca="false">IF(G20&lt;F20,"Review before onboarding",IF(F20&gt;Assumptions!$B$4,"Future onboarding","OK"))</f>
        <v>OK</v>
      </c>
      <c r="AE20" s="27" t="n">
        <f aca="false">(P20&gt;0)+(Q20&gt;0)+(X20&lt;&gt;"OK")+(AC20&lt;&gt;"OK")+(AD20&lt;&gt;"OK")+(AA20="Overdue")</f>
        <v>0</v>
      </c>
    </row>
    <row r="21" customFormat="false" ht="15" hidden="false" customHeight="false" outlineLevel="0" collapsed="false">
      <c r="A21" s="27" t="s">
        <v>257</v>
      </c>
      <c r="B21" s="27" t="s">
        <v>258</v>
      </c>
      <c r="C21" s="27" t="s">
        <v>151</v>
      </c>
      <c r="D21" s="27" t="s">
        <v>161</v>
      </c>
      <c r="E21" s="27" t="s">
        <v>156</v>
      </c>
      <c r="F21" s="28" t="n">
        <v>43579</v>
      </c>
      <c r="G21" s="28" t="n">
        <v>45065</v>
      </c>
      <c r="H21" s="27" t="s">
        <v>73</v>
      </c>
      <c r="I21" s="27" t="s">
        <v>218</v>
      </c>
      <c r="J21" s="27" t="s">
        <v>218</v>
      </c>
      <c r="K21" s="27" t="s">
        <v>218</v>
      </c>
      <c r="L21" s="27" t="s">
        <v>218</v>
      </c>
      <c r="M21" s="27" t="s">
        <v>219</v>
      </c>
      <c r="N21" s="27" t="s">
        <v>220</v>
      </c>
      <c r="O21" s="29" t="n">
        <v>0</v>
      </c>
      <c r="P21" s="27" t="n">
        <f aca="false">4-COUNTIF(I21:L21,"Y")</f>
        <v>0</v>
      </c>
      <c r="Q21" s="27" t="n">
        <f aca="false">COUNTBLANK(A21:O21)</f>
        <v>0</v>
      </c>
      <c r="R21" s="27" t="str">
        <f aca="false">IF(P21&gt;0,"Incomplete - Docs",IF(M21&lt;&gt;"Clear","Incomplete - Screening","Complete"))</f>
        <v>Complete</v>
      </c>
      <c r="S21" s="27" t="n">
        <f aca="false">IFERROR(INDEX(Assumptions!$B$22:$B$39,MATCH(D21,Assumptions!$A$22:$A$39,0)),0)</f>
        <v>0</v>
      </c>
      <c r="T21" s="27" t="n">
        <f aca="false">IFERROR(INDEX(Assumptions!$F$22:$F$35,MATCH(E21,Assumptions!$E$22:$E$35,0)),0)</f>
        <v>0</v>
      </c>
      <c r="U21" s="27" t="n">
        <f aca="false">IFERROR(INDEX(Assumptions!$I$22:$I$25,MATCH(C21,Assumptions!$H$22:$H$25,0)),0)</f>
        <v>0</v>
      </c>
      <c r="V21" s="27" t="n">
        <f aca="false">S21+T21+U21+IF(N21="Y",Assumptions!$B$16,0)</f>
        <v>0</v>
      </c>
      <c r="W21" s="27" t="str">
        <f aca="false">IF(V21&gt;=Assumptions!$B$14,"High",IF(V21&gt;=Assumptions!$B$15,"Medium","Low"))</f>
        <v>Low</v>
      </c>
      <c r="X21" s="27" t="str">
        <f aca="false">IF(H21=W21,"OK",IF(((H21="High")*3+(H21="Medium")*2+(H21="Low"))&lt;((W21="High")*3+(W21="Medium")*2+(W21="Low")),"Under-rated","Over-rated"))</f>
        <v>OK</v>
      </c>
      <c r="Y21" s="27" t="n">
        <f aca="false">INDEX(Assumptions!$L$22:$L$24,MATCH(H21,Assumptions!$K$22:$K$24,0))</f>
        <v>3</v>
      </c>
      <c r="Z21" s="28" t="n">
        <f aca="false">EDATE(G21,12*Y21)</f>
        <v>46161</v>
      </c>
      <c r="AA21" s="27" t="str">
        <f aca="false">IF(Z21&lt;Assumptions!$B$4,"Overdue",IF(Z21&lt;=Assumptions!$B$4+60,"Due within 60 days","Current"))</f>
        <v>Overdue</v>
      </c>
      <c r="AB21" s="27" t="n">
        <f aca="false">MAX(0,Assumptions!$B$4-Z21)</f>
        <v>160</v>
      </c>
      <c r="AC21" s="27" t="str">
        <f aca="false">IF(COUNTIF($B$2:$B$41,B21)&gt;1,"Duplicate","OK")</f>
        <v>OK</v>
      </c>
      <c r="AD21" s="27" t="str">
        <f aca="false">IF(G21&lt;F21,"Review before onboarding",IF(F21&gt;Assumptions!$B$4,"Future onboarding","OK"))</f>
        <v>OK</v>
      </c>
      <c r="AE21" s="27" t="n">
        <f aca="false">(P21&gt;0)+(Q21&gt;0)+(X21&lt;&gt;"OK")+(AC21&lt;&gt;"OK")+(AD21&lt;&gt;"OK")+(AA21="Overdue")</f>
        <v>1</v>
      </c>
    </row>
    <row r="22" customFormat="false" ht="15" hidden="false" customHeight="false" outlineLevel="0" collapsed="false">
      <c r="A22" s="27" t="s">
        <v>259</v>
      </c>
      <c r="B22" s="27" t="s">
        <v>260</v>
      </c>
      <c r="C22" s="27" t="s">
        <v>151</v>
      </c>
      <c r="D22" s="27" t="s">
        <v>158</v>
      </c>
      <c r="E22" s="27" t="s">
        <v>159</v>
      </c>
      <c r="F22" s="28" t="n">
        <v>45726</v>
      </c>
      <c r="G22" s="28" t="n">
        <v>45601</v>
      </c>
      <c r="H22" s="27" t="s">
        <v>73</v>
      </c>
      <c r="I22" s="27" t="s">
        <v>218</v>
      </c>
      <c r="J22" s="27" t="s">
        <v>218</v>
      </c>
      <c r="K22" s="27" t="s">
        <v>218</v>
      </c>
      <c r="L22" s="27" t="s">
        <v>218</v>
      </c>
      <c r="M22" s="27" t="s">
        <v>219</v>
      </c>
      <c r="N22" s="27" t="s">
        <v>220</v>
      </c>
      <c r="O22" s="29" t="n">
        <v>0</v>
      </c>
      <c r="P22" s="27" t="n">
        <f aca="false">4-COUNTIF(I22:L22,"Y")</f>
        <v>0</v>
      </c>
      <c r="Q22" s="27" t="n">
        <f aca="false">COUNTBLANK(A22:O22)</f>
        <v>0</v>
      </c>
      <c r="R22" s="27" t="str">
        <f aca="false">IF(P22&gt;0,"Incomplete - Docs",IF(M22&lt;&gt;"Clear","Incomplete - Screening","Complete"))</f>
        <v>Complete</v>
      </c>
      <c r="S22" s="27" t="n">
        <f aca="false">IFERROR(INDEX(Assumptions!$B$22:$B$39,MATCH(D22,Assumptions!$A$22:$A$39,0)),0)</f>
        <v>0</v>
      </c>
      <c r="T22" s="27" t="n">
        <f aca="false">IFERROR(INDEX(Assumptions!$F$22:$F$35,MATCH(E22,Assumptions!$E$22:$E$35,0)),0)</f>
        <v>1</v>
      </c>
      <c r="U22" s="27" t="n">
        <f aca="false">IFERROR(INDEX(Assumptions!$I$22:$I$25,MATCH(C22,Assumptions!$H$22:$H$25,0)),0)</f>
        <v>0</v>
      </c>
      <c r="V22" s="27" t="n">
        <f aca="false">S22+T22+U22+IF(N22="Y",Assumptions!$B$16,0)</f>
        <v>1</v>
      </c>
      <c r="W22" s="27" t="str">
        <f aca="false">IF(V22&gt;=Assumptions!$B$14,"High",IF(V22&gt;=Assumptions!$B$15,"Medium","Low"))</f>
        <v>Low</v>
      </c>
      <c r="X22" s="27" t="str">
        <f aca="false">IF(H22=W22,"OK",IF(((H22="High")*3+(H22="Medium")*2+(H22="Low"))&lt;((W22="High")*3+(W22="Medium")*2+(W22="Low")),"Under-rated","Over-rated"))</f>
        <v>OK</v>
      </c>
      <c r="Y22" s="27" t="n">
        <f aca="false">INDEX(Assumptions!$L$22:$L$24,MATCH(H22,Assumptions!$K$22:$K$24,0))</f>
        <v>3</v>
      </c>
      <c r="Z22" s="28" t="n">
        <f aca="false">EDATE(G22,12*Y22)</f>
        <v>46696</v>
      </c>
      <c r="AA22" s="27" t="str">
        <f aca="false">IF(Z22&lt;Assumptions!$B$4,"Overdue",IF(Z22&lt;=Assumptions!$B$4+60,"Due within 60 days","Current"))</f>
        <v>Current</v>
      </c>
      <c r="AB22" s="27" t="n">
        <f aca="false">MAX(0,Assumptions!$B$4-Z22)</f>
        <v>0</v>
      </c>
      <c r="AC22" s="27" t="str">
        <f aca="false">IF(COUNTIF($B$2:$B$41,B22)&gt;1,"Duplicate","OK")</f>
        <v>OK</v>
      </c>
      <c r="AD22" s="27" t="str">
        <f aca="false">IF(G22&lt;F22,"Review before onboarding",IF(F22&gt;Assumptions!$B$4,"Future onboarding","OK"))</f>
        <v>Review before onboarding</v>
      </c>
      <c r="AE22" s="27" t="n">
        <f aca="false">(P22&gt;0)+(Q22&gt;0)+(X22&lt;&gt;"OK")+(AC22&lt;&gt;"OK")+(AD22&lt;&gt;"OK")+(AA22="Overdue")</f>
        <v>1</v>
      </c>
    </row>
    <row r="23" customFormat="false" ht="15" hidden="false" customHeight="false" outlineLevel="0" collapsed="false">
      <c r="A23" s="27" t="s">
        <v>261</v>
      </c>
      <c r="B23" s="27" t="s">
        <v>262</v>
      </c>
      <c r="C23" s="27" t="s">
        <v>151</v>
      </c>
      <c r="D23" s="27" t="s">
        <v>172</v>
      </c>
      <c r="E23" s="27" t="s">
        <v>168</v>
      </c>
      <c r="F23" s="28" t="n">
        <v>44543</v>
      </c>
      <c r="G23" s="28" t="n">
        <v>46203</v>
      </c>
      <c r="H23" s="27" t="s">
        <v>72</v>
      </c>
      <c r="I23" s="27" t="s">
        <v>218</v>
      </c>
      <c r="J23" s="27" t="s">
        <v>218</v>
      </c>
      <c r="K23" s="27" t="s">
        <v>218</v>
      </c>
      <c r="L23" s="27" t="s">
        <v>218</v>
      </c>
      <c r="M23" s="27" t="s">
        <v>219</v>
      </c>
      <c r="N23" s="27" t="s">
        <v>220</v>
      </c>
      <c r="O23" s="29" t="n">
        <v>0</v>
      </c>
      <c r="P23" s="27" t="n">
        <f aca="false">4-COUNTIF(I23:L23,"Y")</f>
        <v>0</v>
      </c>
      <c r="Q23" s="27" t="n">
        <f aca="false">COUNTBLANK(A23:O23)</f>
        <v>0</v>
      </c>
      <c r="R23" s="27" t="str">
        <f aca="false">IF(P23&gt;0,"Incomplete - Docs",IF(M23&lt;&gt;"Clear","Incomplete - Screening","Complete"))</f>
        <v>Complete</v>
      </c>
      <c r="S23" s="27" t="n">
        <f aca="false">IFERROR(INDEX(Assumptions!$B$22:$B$39,MATCH(D23,Assumptions!$A$22:$A$39,0)),0)</f>
        <v>1</v>
      </c>
      <c r="T23" s="27" t="n">
        <f aca="false">IFERROR(INDEX(Assumptions!$F$22:$F$35,MATCH(E23,Assumptions!$E$22:$E$35,0)),0)</f>
        <v>2</v>
      </c>
      <c r="U23" s="27" t="n">
        <f aca="false">IFERROR(INDEX(Assumptions!$I$22:$I$25,MATCH(C23,Assumptions!$H$22:$H$25,0)),0)</f>
        <v>0</v>
      </c>
      <c r="V23" s="27" t="n">
        <f aca="false">S23+T23+U23+IF(N23="Y",Assumptions!$B$16,0)</f>
        <v>3</v>
      </c>
      <c r="W23" s="27" t="str">
        <f aca="false">IF(V23&gt;=Assumptions!$B$14,"High",IF(V23&gt;=Assumptions!$B$15,"Medium","Low"))</f>
        <v>Medium</v>
      </c>
      <c r="X23" s="27" t="str">
        <f aca="false">IF(H23=W23,"OK",IF(((H23="High")*3+(H23="Medium")*2+(H23="Low"))&lt;((W23="High")*3+(W23="Medium")*2+(W23="Low")),"Under-rated","Over-rated"))</f>
        <v>OK</v>
      </c>
      <c r="Y23" s="27" t="n">
        <f aca="false">INDEX(Assumptions!$L$22:$L$24,MATCH(H23,Assumptions!$K$22:$K$24,0))</f>
        <v>2</v>
      </c>
      <c r="Z23" s="28" t="n">
        <f aca="false">EDATE(G23,12*Y23)</f>
        <v>46934</v>
      </c>
      <c r="AA23" s="27" t="str">
        <f aca="false">IF(Z23&lt;Assumptions!$B$4,"Overdue",IF(Z23&lt;=Assumptions!$B$4+60,"Due within 60 days","Current"))</f>
        <v>Current</v>
      </c>
      <c r="AB23" s="27" t="n">
        <f aca="false">MAX(0,Assumptions!$B$4-Z23)</f>
        <v>0</v>
      </c>
      <c r="AC23" s="27" t="str">
        <f aca="false">IF(COUNTIF($B$2:$B$41,B23)&gt;1,"Duplicate","OK")</f>
        <v>OK</v>
      </c>
      <c r="AD23" s="27" t="str">
        <f aca="false">IF(G23&lt;F23,"Review before onboarding",IF(F23&gt;Assumptions!$B$4,"Future onboarding","OK"))</f>
        <v>OK</v>
      </c>
      <c r="AE23" s="27" t="n">
        <f aca="false">(P23&gt;0)+(Q23&gt;0)+(X23&lt;&gt;"OK")+(AC23&lt;&gt;"OK")+(AD23&lt;&gt;"OK")+(AA23="Overdue")</f>
        <v>0</v>
      </c>
    </row>
    <row r="24" customFormat="false" ht="15" hidden="false" customHeight="false" outlineLevel="0" collapsed="false">
      <c r="A24" s="27" t="s">
        <v>263</v>
      </c>
      <c r="B24" s="27" t="s">
        <v>264</v>
      </c>
      <c r="C24" s="27" t="s">
        <v>151</v>
      </c>
      <c r="D24" s="27" t="s">
        <v>152</v>
      </c>
      <c r="E24" s="27" t="s">
        <v>166</v>
      </c>
      <c r="F24" s="28" t="n">
        <v>44899</v>
      </c>
      <c r="G24" s="28" t="n">
        <v>45262</v>
      </c>
      <c r="H24" s="27" t="s">
        <v>73</v>
      </c>
      <c r="I24" s="27" t="s">
        <v>218</v>
      </c>
      <c r="J24" s="27" t="s">
        <v>218</v>
      </c>
      <c r="K24" s="27" t="s">
        <v>218</v>
      </c>
      <c r="L24" s="27" t="s">
        <v>218</v>
      </c>
      <c r="M24" s="27" t="s">
        <v>219</v>
      </c>
      <c r="N24" s="27" t="s">
        <v>220</v>
      </c>
      <c r="O24" s="29" t="n">
        <v>0</v>
      </c>
      <c r="P24" s="27" t="n">
        <f aca="false">4-COUNTIF(I24:L24,"Y")</f>
        <v>0</v>
      </c>
      <c r="Q24" s="27" t="n">
        <f aca="false">COUNTBLANK(A24:O24)</f>
        <v>0</v>
      </c>
      <c r="R24" s="27" t="str">
        <f aca="false">IF(P24&gt;0,"Incomplete - Docs",IF(M24&lt;&gt;"Clear","Incomplete - Screening","Complete"))</f>
        <v>Complete</v>
      </c>
      <c r="S24" s="27" t="n">
        <f aca="false">IFERROR(INDEX(Assumptions!$B$22:$B$39,MATCH(D24,Assumptions!$A$22:$A$39,0)),0)</f>
        <v>0</v>
      </c>
      <c r="T24" s="27" t="n">
        <f aca="false">IFERROR(INDEX(Assumptions!$F$22:$F$35,MATCH(E24,Assumptions!$E$22:$E$35,0)),0)</f>
        <v>2</v>
      </c>
      <c r="U24" s="27" t="n">
        <f aca="false">IFERROR(INDEX(Assumptions!$I$22:$I$25,MATCH(C24,Assumptions!$H$22:$H$25,0)),0)</f>
        <v>0</v>
      </c>
      <c r="V24" s="27" t="n">
        <f aca="false">S24+T24+U24+IF(N24="Y",Assumptions!$B$16,0)</f>
        <v>2</v>
      </c>
      <c r="W24" s="27" t="str">
        <f aca="false">IF(V24&gt;=Assumptions!$B$14,"High",IF(V24&gt;=Assumptions!$B$15,"Medium","Low"))</f>
        <v>Low</v>
      </c>
      <c r="X24" s="27" t="str">
        <f aca="false">IF(H24=W24,"OK",IF(((H24="High")*3+(H24="Medium")*2+(H24="Low"))&lt;((W24="High")*3+(W24="Medium")*2+(W24="Low")),"Under-rated","Over-rated"))</f>
        <v>OK</v>
      </c>
      <c r="Y24" s="27" t="n">
        <f aca="false">INDEX(Assumptions!$L$22:$L$24,MATCH(H24,Assumptions!$K$22:$K$24,0))</f>
        <v>3</v>
      </c>
      <c r="Z24" s="28" t="n">
        <f aca="false">EDATE(G24,12*Y24)</f>
        <v>46358</v>
      </c>
      <c r="AA24" s="27" t="str">
        <f aca="false">IF(Z24&lt;Assumptions!$B$4,"Overdue",IF(Z24&lt;=Assumptions!$B$4+60,"Due within 60 days","Current"))</f>
        <v>Due within 60 days</v>
      </c>
      <c r="AB24" s="27" t="n">
        <f aca="false">MAX(0,Assumptions!$B$4-Z24)</f>
        <v>0</v>
      </c>
      <c r="AC24" s="27" t="str">
        <f aca="false">IF(COUNTIF($B$2:$B$41,B24)&gt;1,"Duplicate","OK")</f>
        <v>OK</v>
      </c>
      <c r="AD24" s="27" t="str">
        <f aca="false">IF(G24&lt;F24,"Review before onboarding",IF(F24&gt;Assumptions!$B$4,"Future onboarding","OK"))</f>
        <v>OK</v>
      </c>
      <c r="AE24" s="27" t="n">
        <f aca="false">(P24&gt;0)+(Q24&gt;0)+(X24&lt;&gt;"OK")+(AC24&lt;&gt;"OK")+(AD24&lt;&gt;"OK")+(AA24="Overdue")</f>
        <v>0</v>
      </c>
    </row>
    <row r="25" customFormat="false" ht="15" hidden="false" customHeight="false" outlineLevel="0" collapsed="false">
      <c r="A25" s="27" t="s">
        <v>265</v>
      </c>
      <c r="B25" s="27" t="s">
        <v>266</v>
      </c>
      <c r="C25" s="27" t="s">
        <v>151</v>
      </c>
      <c r="D25" s="27" t="s">
        <v>148</v>
      </c>
      <c r="E25" s="27"/>
      <c r="F25" s="28" t="n">
        <v>44430</v>
      </c>
      <c r="G25" s="28" t="n">
        <v>45711</v>
      </c>
      <c r="H25" s="27" t="s">
        <v>73</v>
      </c>
      <c r="I25" s="27" t="s">
        <v>218</v>
      </c>
      <c r="J25" s="27" t="s">
        <v>218</v>
      </c>
      <c r="K25" s="27" t="s">
        <v>218</v>
      </c>
      <c r="L25" s="27" t="s">
        <v>220</v>
      </c>
      <c r="M25" s="27" t="s">
        <v>219</v>
      </c>
      <c r="N25" s="27" t="s">
        <v>220</v>
      </c>
      <c r="O25" s="29" t="n">
        <v>30000</v>
      </c>
      <c r="P25" s="27" t="n">
        <f aca="false">4-COUNTIF(I25:L25,"Y")</f>
        <v>1</v>
      </c>
      <c r="Q25" s="27" t="n">
        <f aca="false">COUNTBLANK(A25:O25)</f>
        <v>1</v>
      </c>
      <c r="R25" s="27" t="str">
        <f aca="false">IF(P25&gt;0,"Incomplete - Docs",IF(M25&lt;&gt;"Clear","Incomplete - Screening","Complete"))</f>
        <v>Incomplete - Docs</v>
      </c>
      <c r="S25" s="27" t="n">
        <f aca="false">IFERROR(INDEX(Assumptions!$B$22:$B$39,MATCH(D25,Assumptions!$A$22:$A$39,0)),0)</f>
        <v>0</v>
      </c>
      <c r="T25" s="27" t="n">
        <f aca="false">IFERROR(INDEX(Assumptions!$F$22:$F$35,MATCH(E25,Assumptions!$E$22:$E$35,0)),0)</f>
        <v>0</v>
      </c>
      <c r="U25" s="27" t="n">
        <f aca="false">IFERROR(INDEX(Assumptions!$I$22:$I$25,MATCH(C25,Assumptions!$H$22:$H$25,0)),0)</f>
        <v>0</v>
      </c>
      <c r="V25" s="27" t="n">
        <f aca="false">S25+T25+U25+IF(N25="Y",Assumptions!$B$16,0)</f>
        <v>0</v>
      </c>
      <c r="W25" s="27" t="str">
        <f aca="false">IF(V25&gt;=Assumptions!$B$14,"High",IF(V25&gt;=Assumptions!$B$15,"Medium","Low"))</f>
        <v>Low</v>
      </c>
      <c r="X25" s="27" t="str">
        <f aca="false">IF(H25=W25,"OK",IF(((H25="High")*3+(H25="Medium")*2+(H25="Low"))&lt;((W25="High")*3+(W25="Medium")*2+(W25="Low")),"Under-rated","Over-rated"))</f>
        <v>OK</v>
      </c>
      <c r="Y25" s="27" t="n">
        <f aca="false">INDEX(Assumptions!$L$22:$L$24,MATCH(H25,Assumptions!$K$22:$K$24,0))</f>
        <v>3</v>
      </c>
      <c r="Z25" s="28" t="n">
        <f aca="false">EDATE(G25,12*Y25)</f>
        <v>46806</v>
      </c>
      <c r="AA25" s="27" t="str">
        <f aca="false">IF(Z25&lt;Assumptions!$B$4,"Overdue",IF(Z25&lt;=Assumptions!$B$4+60,"Due within 60 days","Current"))</f>
        <v>Current</v>
      </c>
      <c r="AB25" s="27" t="n">
        <f aca="false">MAX(0,Assumptions!$B$4-Z25)</f>
        <v>0</v>
      </c>
      <c r="AC25" s="27" t="str">
        <f aca="false">IF(COUNTIF($B$2:$B$41,B25)&gt;1,"Duplicate","OK")</f>
        <v>OK</v>
      </c>
      <c r="AD25" s="27" t="str">
        <f aca="false">IF(G25&lt;F25,"Review before onboarding",IF(F25&gt;Assumptions!$B$4,"Future onboarding","OK"))</f>
        <v>OK</v>
      </c>
      <c r="AE25" s="27" t="n">
        <f aca="false">(P25&gt;0)+(Q25&gt;0)+(X25&lt;&gt;"OK")+(AC25&lt;&gt;"OK")+(AD25&lt;&gt;"OK")+(AA25="Overdue")</f>
        <v>2</v>
      </c>
    </row>
    <row r="26" customFormat="false" ht="15" hidden="false" customHeight="false" outlineLevel="0" collapsed="false">
      <c r="A26" s="27" t="s">
        <v>267</v>
      </c>
      <c r="B26" s="27" t="s">
        <v>268</v>
      </c>
      <c r="C26" s="27" t="s">
        <v>157</v>
      </c>
      <c r="D26" s="27" t="s">
        <v>183</v>
      </c>
      <c r="E26" s="27" t="s">
        <v>180</v>
      </c>
      <c r="F26" s="28" t="n">
        <v>45438</v>
      </c>
      <c r="G26" s="28" t="n">
        <v>46207</v>
      </c>
      <c r="H26" s="27" t="s">
        <v>71</v>
      </c>
      <c r="I26" s="27" t="s">
        <v>218</v>
      </c>
      <c r="J26" s="27" t="s">
        <v>218</v>
      </c>
      <c r="K26" s="27" t="s">
        <v>218</v>
      </c>
      <c r="L26" s="27" t="s">
        <v>218</v>
      </c>
      <c r="M26" s="27" t="s">
        <v>219</v>
      </c>
      <c r="N26" s="27" t="s">
        <v>220</v>
      </c>
      <c r="O26" s="29" t="n">
        <v>0</v>
      </c>
      <c r="P26" s="27" t="n">
        <f aca="false">4-COUNTIF(I26:L26,"Y")</f>
        <v>0</v>
      </c>
      <c r="Q26" s="27" t="n">
        <f aca="false">COUNTBLANK(A26:O26)</f>
        <v>0</v>
      </c>
      <c r="R26" s="27" t="str">
        <f aca="false">IF(P26&gt;0,"Incomplete - Docs",IF(M26&lt;&gt;"Clear","Incomplete - Screening","Complete"))</f>
        <v>Complete</v>
      </c>
      <c r="S26" s="27" t="n">
        <f aca="false">IFERROR(INDEX(Assumptions!$B$22:$B$39,MATCH(D26,Assumptions!$A$22:$A$39,0)),0)</f>
        <v>2</v>
      </c>
      <c r="T26" s="27" t="n">
        <f aca="false">IFERROR(INDEX(Assumptions!$F$22:$F$35,MATCH(E26,Assumptions!$E$22:$E$35,0)),0)</f>
        <v>3</v>
      </c>
      <c r="U26" s="27" t="n">
        <f aca="false">IFERROR(INDEX(Assumptions!$I$22:$I$25,MATCH(C26,Assumptions!$H$22:$H$25,0)),0)</f>
        <v>1</v>
      </c>
      <c r="V26" s="27" t="n">
        <f aca="false">S26+T26+U26+IF(N26="Y",Assumptions!$B$16,0)</f>
        <v>6</v>
      </c>
      <c r="W26" s="27" t="str">
        <f aca="false">IF(V26&gt;=Assumptions!$B$14,"High",IF(V26&gt;=Assumptions!$B$15,"Medium","Low"))</f>
        <v>High</v>
      </c>
      <c r="X26" s="27" t="str">
        <f aca="false">IF(H26=W26,"OK",IF(((H26="High")*3+(H26="Medium")*2+(H26="Low"))&lt;((W26="High")*3+(W26="Medium")*2+(W26="Low")),"Under-rated","Over-rated"))</f>
        <v>OK</v>
      </c>
      <c r="Y26" s="27" t="n">
        <f aca="false">INDEX(Assumptions!$L$22:$L$24,MATCH(H26,Assumptions!$K$22:$K$24,0))</f>
        <v>1</v>
      </c>
      <c r="Z26" s="28" t="n">
        <f aca="false">EDATE(G26,12*Y26)</f>
        <v>46572</v>
      </c>
      <c r="AA26" s="27" t="str">
        <f aca="false">IF(Z26&lt;Assumptions!$B$4,"Overdue",IF(Z26&lt;=Assumptions!$B$4+60,"Due within 60 days","Current"))</f>
        <v>Current</v>
      </c>
      <c r="AB26" s="27" t="n">
        <f aca="false">MAX(0,Assumptions!$B$4-Z26)</f>
        <v>0</v>
      </c>
      <c r="AC26" s="27" t="str">
        <f aca="false">IF(COUNTIF($B$2:$B$41,B26)&gt;1,"Duplicate","OK")</f>
        <v>OK</v>
      </c>
      <c r="AD26" s="27" t="str">
        <f aca="false">IF(G26&lt;F26,"Review before onboarding",IF(F26&gt;Assumptions!$B$4,"Future onboarding","OK"))</f>
        <v>OK</v>
      </c>
      <c r="AE26" s="27" t="n">
        <f aca="false">(P26&gt;0)+(Q26&gt;0)+(X26&lt;&gt;"OK")+(AC26&lt;&gt;"OK")+(AD26&lt;&gt;"OK")+(AA26="Overdue")</f>
        <v>0</v>
      </c>
    </row>
    <row r="27" customFormat="false" ht="15" hidden="false" customHeight="false" outlineLevel="0" collapsed="false">
      <c r="A27" s="27" t="s">
        <v>269</v>
      </c>
      <c r="B27" s="27" t="s">
        <v>270</v>
      </c>
      <c r="C27" s="27" t="s">
        <v>157</v>
      </c>
      <c r="D27" s="27" t="s">
        <v>178</v>
      </c>
      <c r="E27" s="27" t="s">
        <v>182</v>
      </c>
      <c r="F27" s="28" t="n">
        <v>44976</v>
      </c>
      <c r="G27" s="28" t="n">
        <v>45444</v>
      </c>
      <c r="H27" s="27" t="s">
        <v>72</v>
      </c>
      <c r="I27" s="27" t="s">
        <v>218</v>
      </c>
      <c r="J27" s="27" t="s">
        <v>218</v>
      </c>
      <c r="K27" s="27" t="s">
        <v>218</v>
      </c>
      <c r="L27" s="27" t="s">
        <v>218</v>
      </c>
      <c r="M27" s="27" t="s">
        <v>219</v>
      </c>
      <c r="N27" s="27" t="s">
        <v>220</v>
      </c>
      <c r="O27" s="29" t="n">
        <v>0</v>
      </c>
      <c r="P27" s="27" t="n">
        <f aca="false">4-COUNTIF(I27:L27,"Y")</f>
        <v>0</v>
      </c>
      <c r="Q27" s="27" t="n">
        <f aca="false">COUNTBLANK(A27:O27)</f>
        <v>0</v>
      </c>
      <c r="R27" s="27" t="str">
        <f aca="false">IF(P27&gt;0,"Incomplete - Docs",IF(M27&lt;&gt;"Clear","Incomplete - Screening","Complete"))</f>
        <v>Complete</v>
      </c>
      <c r="S27" s="27" t="n">
        <f aca="false">IFERROR(INDEX(Assumptions!$B$22:$B$39,MATCH(D27,Assumptions!$A$22:$A$39,0)),0)</f>
        <v>2</v>
      </c>
      <c r="T27" s="27" t="n">
        <f aca="false">IFERROR(INDEX(Assumptions!$F$22:$F$35,MATCH(E27,Assumptions!$E$22:$E$35,0)),0)</f>
        <v>3</v>
      </c>
      <c r="U27" s="27" t="n">
        <f aca="false">IFERROR(INDEX(Assumptions!$I$22:$I$25,MATCH(C27,Assumptions!$H$22:$H$25,0)),0)</f>
        <v>1</v>
      </c>
      <c r="V27" s="27" t="n">
        <f aca="false">S27+T27+U27+IF(N27="Y",Assumptions!$B$16,0)</f>
        <v>6</v>
      </c>
      <c r="W27" s="27" t="str">
        <f aca="false">IF(V27&gt;=Assumptions!$B$14,"High",IF(V27&gt;=Assumptions!$B$15,"Medium","Low"))</f>
        <v>High</v>
      </c>
      <c r="X27" s="27" t="str">
        <f aca="false">IF(H27=W27,"OK",IF(((H27="High")*3+(H27="Medium")*2+(H27="Low"))&lt;((W27="High")*3+(W27="Medium")*2+(W27="Low")),"Under-rated","Over-rated"))</f>
        <v>Under-rated</v>
      </c>
      <c r="Y27" s="27" t="n">
        <f aca="false">INDEX(Assumptions!$L$22:$L$24,MATCH(H27,Assumptions!$K$22:$K$24,0))</f>
        <v>2</v>
      </c>
      <c r="Z27" s="28" t="n">
        <f aca="false">EDATE(G27,12*Y27)</f>
        <v>46174</v>
      </c>
      <c r="AA27" s="27" t="str">
        <f aca="false">IF(Z27&lt;Assumptions!$B$4,"Overdue",IF(Z27&lt;=Assumptions!$B$4+60,"Due within 60 days","Current"))</f>
        <v>Overdue</v>
      </c>
      <c r="AB27" s="27" t="n">
        <f aca="false">MAX(0,Assumptions!$B$4-Z27)</f>
        <v>147</v>
      </c>
      <c r="AC27" s="27" t="str">
        <f aca="false">IF(COUNTIF($B$2:$B$41,B27)&gt;1,"Duplicate","OK")</f>
        <v>OK</v>
      </c>
      <c r="AD27" s="27" t="str">
        <f aca="false">IF(G27&lt;F27,"Review before onboarding",IF(F27&gt;Assumptions!$B$4,"Future onboarding","OK"))</f>
        <v>OK</v>
      </c>
      <c r="AE27" s="27" t="n">
        <f aca="false">(P27&gt;0)+(Q27&gt;0)+(X27&lt;&gt;"OK")+(AC27&lt;&gt;"OK")+(AD27&lt;&gt;"OK")+(AA27="Overdue")</f>
        <v>2</v>
      </c>
    </row>
    <row r="28" customFormat="false" ht="15" hidden="false" customHeight="false" outlineLevel="0" collapsed="false">
      <c r="A28" s="27" t="s">
        <v>271</v>
      </c>
      <c r="B28" s="27" t="s">
        <v>272</v>
      </c>
      <c r="C28" s="27" t="s">
        <v>151</v>
      </c>
      <c r="D28" s="27" t="s">
        <v>169</v>
      </c>
      <c r="E28" s="27" t="s">
        <v>168</v>
      </c>
      <c r="F28" s="28" t="n">
        <v>43884</v>
      </c>
      <c r="G28" s="28" t="n">
        <v>45384</v>
      </c>
      <c r="H28" s="27" t="s">
        <v>73</v>
      </c>
      <c r="I28" s="27" t="s">
        <v>218</v>
      </c>
      <c r="J28" s="27" t="s">
        <v>218</v>
      </c>
      <c r="K28" s="27" t="s">
        <v>218</v>
      </c>
      <c r="L28" s="27" t="s">
        <v>218</v>
      </c>
      <c r="M28" s="27" t="s">
        <v>219</v>
      </c>
      <c r="N28" s="27" t="s">
        <v>220</v>
      </c>
      <c r="O28" s="29" t="n">
        <v>0</v>
      </c>
      <c r="P28" s="27" t="n">
        <f aca="false">4-COUNTIF(I28:L28,"Y")</f>
        <v>0</v>
      </c>
      <c r="Q28" s="27" t="n">
        <f aca="false">COUNTBLANK(A28:O28)</f>
        <v>0</v>
      </c>
      <c r="R28" s="27" t="str">
        <f aca="false">IF(P28&gt;0,"Incomplete - Docs",IF(M28&lt;&gt;"Clear","Incomplete - Screening","Complete"))</f>
        <v>Complete</v>
      </c>
      <c r="S28" s="27" t="n">
        <f aca="false">IFERROR(INDEX(Assumptions!$B$22:$B$39,MATCH(D28,Assumptions!$A$22:$A$39,0)),0)</f>
        <v>1</v>
      </c>
      <c r="T28" s="27" t="n">
        <f aca="false">IFERROR(INDEX(Assumptions!$F$22:$F$35,MATCH(E28,Assumptions!$E$22:$E$35,0)),0)</f>
        <v>2</v>
      </c>
      <c r="U28" s="27" t="n">
        <f aca="false">IFERROR(INDEX(Assumptions!$I$22:$I$25,MATCH(C28,Assumptions!$H$22:$H$25,0)),0)</f>
        <v>0</v>
      </c>
      <c r="V28" s="27" t="n">
        <f aca="false">S28+T28+U28+IF(N28="Y",Assumptions!$B$16,0)</f>
        <v>3</v>
      </c>
      <c r="W28" s="27" t="str">
        <f aca="false">IF(V28&gt;=Assumptions!$B$14,"High",IF(V28&gt;=Assumptions!$B$15,"Medium","Low"))</f>
        <v>Medium</v>
      </c>
      <c r="X28" s="27" t="str">
        <f aca="false">IF(H28=W28,"OK",IF(((H28="High")*3+(H28="Medium")*2+(H28="Low"))&lt;((W28="High")*3+(W28="Medium")*2+(W28="Low")),"Under-rated","Over-rated"))</f>
        <v>Under-rated</v>
      </c>
      <c r="Y28" s="27" t="n">
        <f aca="false">INDEX(Assumptions!$L$22:$L$24,MATCH(H28,Assumptions!$K$22:$K$24,0))</f>
        <v>3</v>
      </c>
      <c r="Z28" s="28" t="n">
        <f aca="false">EDATE(G28,12*Y28)</f>
        <v>46479</v>
      </c>
      <c r="AA28" s="27" t="str">
        <f aca="false">IF(Z28&lt;Assumptions!$B$4,"Overdue",IF(Z28&lt;=Assumptions!$B$4+60,"Due within 60 days","Current"))</f>
        <v>Current</v>
      </c>
      <c r="AB28" s="27" t="n">
        <f aca="false">MAX(0,Assumptions!$B$4-Z28)</f>
        <v>0</v>
      </c>
      <c r="AC28" s="27" t="str">
        <f aca="false">IF(COUNTIF($B$2:$B$41,B28)&gt;1,"Duplicate","OK")</f>
        <v>OK</v>
      </c>
      <c r="AD28" s="27" t="str">
        <f aca="false">IF(G28&lt;F28,"Review before onboarding",IF(F28&gt;Assumptions!$B$4,"Future onboarding","OK"))</f>
        <v>OK</v>
      </c>
      <c r="AE28" s="27" t="n">
        <f aca="false">(P28&gt;0)+(Q28&gt;0)+(X28&lt;&gt;"OK")+(AC28&lt;&gt;"OK")+(AD28&lt;&gt;"OK")+(AA28="Overdue")</f>
        <v>1</v>
      </c>
    </row>
    <row r="29" customFormat="false" ht="15" hidden="false" customHeight="false" outlineLevel="0" collapsed="false">
      <c r="A29" s="27" t="s">
        <v>273</v>
      </c>
      <c r="B29" s="27" t="s">
        <v>274</v>
      </c>
      <c r="C29" s="27" t="s">
        <v>151</v>
      </c>
      <c r="D29" s="27" t="s">
        <v>163</v>
      </c>
      <c r="E29" s="27" t="s">
        <v>159</v>
      </c>
      <c r="F29" s="28" t="n">
        <v>43914</v>
      </c>
      <c r="G29" s="28" t="n">
        <v>45561</v>
      </c>
      <c r="H29" s="27" t="s">
        <v>73</v>
      </c>
      <c r="I29" s="27" t="s">
        <v>218</v>
      </c>
      <c r="J29" s="27" t="s">
        <v>218</v>
      </c>
      <c r="K29" s="27" t="s">
        <v>218</v>
      </c>
      <c r="L29" s="27" t="s">
        <v>218</v>
      </c>
      <c r="M29" s="27" t="s">
        <v>219</v>
      </c>
      <c r="N29" s="27" t="s">
        <v>220</v>
      </c>
      <c r="O29" s="29" t="n">
        <v>0</v>
      </c>
      <c r="P29" s="27" t="n">
        <f aca="false">4-COUNTIF(I29:L29,"Y")</f>
        <v>0</v>
      </c>
      <c r="Q29" s="27" t="n">
        <f aca="false">COUNTBLANK(A29:O29)</f>
        <v>0</v>
      </c>
      <c r="R29" s="27" t="str">
        <f aca="false">IF(P29&gt;0,"Incomplete - Docs",IF(M29&lt;&gt;"Clear","Incomplete - Screening","Complete"))</f>
        <v>Complete</v>
      </c>
      <c r="S29" s="27" t="n">
        <f aca="false">IFERROR(INDEX(Assumptions!$B$22:$B$39,MATCH(D29,Assumptions!$A$22:$A$39,0)),0)</f>
        <v>0</v>
      </c>
      <c r="T29" s="27" t="n">
        <f aca="false">IFERROR(INDEX(Assumptions!$F$22:$F$35,MATCH(E29,Assumptions!$E$22:$E$35,0)),0)</f>
        <v>1</v>
      </c>
      <c r="U29" s="27" t="n">
        <f aca="false">IFERROR(INDEX(Assumptions!$I$22:$I$25,MATCH(C29,Assumptions!$H$22:$H$25,0)),0)</f>
        <v>0</v>
      </c>
      <c r="V29" s="27" t="n">
        <f aca="false">S29+T29+U29+IF(N29="Y",Assumptions!$B$16,0)</f>
        <v>1</v>
      </c>
      <c r="W29" s="27" t="str">
        <f aca="false">IF(V29&gt;=Assumptions!$B$14,"High",IF(V29&gt;=Assumptions!$B$15,"Medium","Low"))</f>
        <v>Low</v>
      </c>
      <c r="X29" s="27" t="str">
        <f aca="false">IF(H29=W29,"OK",IF(((H29="High")*3+(H29="Medium")*2+(H29="Low"))&lt;((W29="High")*3+(W29="Medium")*2+(W29="Low")),"Under-rated","Over-rated"))</f>
        <v>OK</v>
      </c>
      <c r="Y29" s="27" t="n">
        <f aca="false">INDEX(Assumptions!$L$22:$L$24,MATCH(H29,Assumptions!$K$22:$K$24,0))</f>
        <v>3</v>
      </c>
      <c r="Z29" s="28" t="n">
        <f aca="false">EDATE(G29,12*Y29)</f>
        <v>46656</v>
      </c>
      <c r="AA29" s="27" t="str">
        <f aca="false">IF(Z29&lt;Assumptions!$B$4,"Overdue",IF(Z29&lt;=Assumptions!$B$4+60,"Due within 60 days","Current"))</f>
        <v>Current</v>
      </c>
      <c r="AB29" s="27" t="n">
        <f aca="false">MAX(0,Assumptions!$B$4-Z29)</f>
        <v>0</v>
      </c>
      <c r="AC29" s="27" t="str">
        <f aca="false">IF(COUNTIF($B$2:$B$41,B29)&gt;1,"Duplicate","OK")</f>
        <v>OK</v>
      </c>
      <c r="AD29" s="27" t="str">
        <f aca="false">IF(G29&lt;F29,"Review before onboarding",IF(F29&gt;Assumptions!$B$4,"Future onboarding","OK"))</f>
        <v>OK</v>
      </c>
      <c r="AE29" s="27" t="n">
        <f aca="false">(P29&gt;0)+(Q29&gt;0)+(X29&lt;&gt;"OK")+(AC29&lt;&gt;"OK")+(AD29&lt;&gt;"OK")+(AA29="Overdue")</f>
        <v>0</v>
      </c>
    </row>
    <row r="30" customFormat="false" ht="15" hidden="false" customHeight="false" outlineLevel="0" collapsed="false">
      <c r="A30" s="27" t="s">
        <v>275</v>
      </c>
      <c r="B30" s="27" t="s">
        <v>276</v>
      </c>
      <c r="C30" s="27" t="s">
        <v>160</v>
      </c>
      <c r="D30" s="27" t="s">
        <v>163</v>
      </c>
      <c r="E30" s="27" t="s">
        <v>166</v>
      </c>
      <c r="F30" s="28" t="n">
        <v>45322</v>
      </c>
      <c r="G30" s="28" t="n">
        <v>46134</v>
      </c>
      <c r="H30" s="27" t="s">
        <v>71</v>
      </c>
      <c r="I30" s="27" t="s">
        <v>218</v>
      </c>
      <c r="J30" s="27" t="s">
        <v>218</v>
      </c>
      <c r="K30" s="27" t="s">
        <v>218</v>
      </c>
      <c r="L30" s="27" t="s">
        <v>218</v>
      </c>
      <c r="M30" s="27" t="s">
        <v>219</v>
      </c>
      <c r="N30" s="27" t="s">
        <v>218</v>
      </c>
      <c r="O30" s="29" t="n">
        <v>0</v>
      </c>
      <c r="P30" s="27" t="n">
        <f aca="false">4-COUNTIF(I30:L30,"Y")</f>
        <v>0</v>
      </c>
      <c r="Q30" s="27" t="n">
        <f aca="false">COUNTBLANK(A30:O30)</f>
        <v>0</v>
      </c>
      <c r="R30" s="27" t="str">
        <f aca="false">IF(P30&gt;0,"Incomplete - Docs",IF(M30&lt;&gt;"Clear","Incomplete - Screening","Complete"))</f>
        <v>Complete</v>
      </c>
      <c r="S30" s="27" t="n">
        <f aca="false">IFERROR(INDEX(Assumptions!$B$22:$B$39,MATCH(D30,Assumptions!$A$22:$A$39,0)),0)</f>
        <v>0</v>
      </c>
      <c r="T30" s="27" t="n">
        <f aca="false">IFERROR(INDEX(Assumptions!$F$22:$F$35,MATCH(E30,Assumptions!$E$22:$E$35,0)),0)</f>
        <v>2</v>
      </c>
      <c r="U30" s="27" t="n">
        <f aca="false">IFERROR(INDEX(Assumptions!$I$22:$I$25,MATCH(C30,Assumptions!$H$22:$H$25,0)),0)</f>
        <v>1</v>
      </c>
      <c r="V30" s="27" t="n">
        <f aca="false">S30+T30+U30+IF(N30="Y",Assumptions!$B$16,0)</f>
        <v>6</v>
      </c>
      <c r="W30" s="27" t="str">
        <f aca="false">IF(V30&gt;=Assumptions!$B$14,"High",IF(V30&gt;=Assumptions!$B$15,"Medium","Low"))</f>
        <v>High</v>
      </c>
      <c r="X30" s="27" t="str">
        <f aca="false">IF(H30=W30,"OK",IF(((H30="High")*3+(H30="Medium")*2+(H30="Low"))&lt;((W30="High")*3+(W30="Medium")*2+(W30="Low")),"Under-rated","Over-rated"))</f>
        <v>OK</v>
      </c>
      <c r="Y30" s="27" t="n">
        <f aca="false">INDEX(Assumptions!$L$22:$L$24,MATCH(H30,Assumptions!$K$22:$K$24,0))</f>
        <v>1</v>
      </c>
      <c r="Z30" s="28" t="n">
        <f aca="false">EDATE(G30,12*Y30)</f>
        <v>46499</v>
      </c>
      <c r="AA30" s="27" t="str">
        <f aca="false">IF(Z30&lt;Assumptions!$B$4,"Overdue",IF(Z30&lt;=Assumptions!$B$4+60,"Due within 60 days","Current"))</f>
        <v>Current</v>
      </c>
      <c r="AB30" s="27" t="n">
        <f aca="false">MAX(0,Assumptions!$B$4-Z30)</f>
        <v>0</v>
      </c>
      <c r="AC30" s="27" t="str">
        <f aca="false">IF(COUNTIF($B$2:$B$41,B30)&gt;1,"Duplicate","OK")</f>
        <v>OK</v>
      </c>
      <c r="AD30" s="27" t="str">
        <f aca="false">IF(G30&lt;F30,"Review before onboarding",IF(F30&gt;Assumptions!$B$4,"Future onboarding","OK"))</f>
        <v>OK</v>
      </c>
      <c r="AE30" s="27" t="n">
        <f aca="false">(P30&gt;0)+(Q30&gt;0)+(X30&lt;&gt;"OK")+(AC30&lt;&gt;"OK")+(AD30&lt;&gt;"OK")+(AA30="Overdue")</f>
        <v>0</v>
      </c>
    </row>
    <row r="31" customFormat="false" ht="15" hidden="false" customHeight="false" outlineLevel="0" collapsed="false">
      <c r="A31" s="27" t="s">
        <v>277</v>
      </c>
      <c r="B31" s="27" t="s">
        <v>278</v>
      </c>
      <c r="C31" s="27" t="s">
        <v>151</v>
      </c>
      <c r="D31" s="27" t="s">
        <v>155</v>
      </c>
      <c r="E31" s="27" t="s">
        <v>150</v>
      </c>
      <c r="F31" s="28" t="n">
        <v>44621</v>
      </c>
      <c r="G31" s="28" t="n">
        <v>46256</v>
      </c>
      <c r="H31" s="27" t="s">
        <v>73</v>
      </c>
      <c r="I31" s="27" t="s">
        <v>218</v>
      </c>
      <c r="J31" s="27" t="s">
        <v>218</v>
      </c>
      <c r="K31" s="27" t="s">
        <v>218</v>
      </c>
      <c r="L31" s="27" t="s">
        <v>218</v>
      </c>
      <c r="M31" s="27" t="s">
        <v>219</v>
      </c>
      <c r="N31" s="27" t="s">
        <v>220</v>
      </c>
      <c r="O31" s="29" t="n">
        <v>0</v>
      </c>
      <c r="P31" s="27" t="n">
        <f aca="false">4-COUNTIF(I31:L31,"Y")</f>
        <v>0</v>
      </c>
      <c r="Q31" s="27" t="n">
        <f aca="false">COUNTBLANK(A31:O31)</f>
        <v>0</v>
      </c>
      <c r="R31" s="27" t="str">
        <f aca="false">IF(P31&gt;0,"Incomplete - Docs",IF(M31&lt;&gt;"Clear","Incomplete - Screening","Complete"))</f>
        <v>Complete</v>
      </c>
      <c r="S31" s="27" t="n">
        <f aca="false">IFERROR(INDEX(Assumptions!$B$22:$B$39,MATCH(D31,Assumptions!$A$22:$A$39,0)),0)</f>
        <v>0</v>
      </c>
      <c r="T31" s="27" t="n">
        <f aca="false">IFERROR(INDEX(Assumptions!$F$22:$F$35,MATCH(E31,Assumptions!$E$22:$E$35,0)),0)</f>
        <v>0</v>
      </c>
      <c r="U31" s="27" t="n">
        <f aca="false">IFERROR(INDEX(Assumptions!$I$22:$I$25,MATCH(C31,Assumptions!$H$22:$H$25,0)),0)</f>
        <v>0</v>
      </c>
      <c r="V31" s="27" t="n">
        <f aca="false">S31+T31+U31+IF(N31="Y",Assumptions!$B$16,0)</f>
        <v>0</v>
      </c>
      <c r="W31" s="27" t="str">
        <f aca="false">IF(V31&gt;=Assumptions!$B$14,"High",IF(V31&gt;=Assumptions!$B$15,"Medium","Low"))</f>
        <v>Low</v>
      </c>
      <c r="X31" s="27" t="str">
        <f aca="false">IF(H31=W31,"OK",IF(((H31="High")*3+(H31="Medium")*2+(H31="Low"))&lt;((W31="High")*3+(W31="Medium")*2+(W31="Low")),"Under-rated","Over-rated"))</f>
        <v>OK</v>
      </c>
      <c r="Y31" s="27" t="n">
        <f aca="false">INDEX(Assumptions!$L$22:$L$24,MATCH(H31,Assumptions!$K$22:$K$24,0))</f>
        <v>3</v>
      </c>
      <c r="Z31" s="28" t="n">
        <f aca="false">EDATE(G31,12*Y31)</f>
        <v>47352</v>
      </c>
      <c r="AA31" s="27" t="str">
        <f aca="false">IF(Z31&lt;Assumptions!$B$4,"Overdue",IF(Z31&lt;=Assumptions!$B$4+60,"Due within 60 days","Current"))</f>
        <v>Current</v>
      </c>
      <c r="AB31" s="27" t="n">
        <f aca="false">MAX(0,Assumptions!$B$4-Z31)</f>
        <v>0</v>
      </c>
      <c r="AC31" s="27" t="str">
        <f aca="false">IF(COUNTIF($B$2:$B$41,B31)&gt;1,"Duplicate","OK")</f>
        <v>OK</v>
      </c>
      <c r="AD31" s="27" t="str">
        <f aca="false">IF(G31&lt;F31,"Review before onboarding",IF(F31&gt;Assumptions!$B$4,"Future onboarding","OK"))</f>
        <v>OK</v>
      </c>
      <c r="AE31" s="27" t="n">
        <f aca="false">(P31&gt;0)+(Q31&gt;0)+(X31&lt;&gt;"OK")+(AC31&lt;&gt;"OK")+(AD31&lt;&gt;"OK")+(AA31="Overdue")</f>
        <v>0</v>
      </c>
    </row>
    <row r="32" customFormat="false" ht="15" hidden="false" customHeight="false" outlineLevel="0" collapsed="false">
      <c r="A32" s="27" t="s">
        <v>279</v>
      </c>
      <c r="B32" s="27" t="s">
        <v>230</v>
      </c>
      <c r="C32" s="27" t="s">
        <v>151</v>
      </c>
      <c r="D32" s="27" t="s">
        <v>155</v>
      </c>
      <c r="E32" s="27" t="s">
        <v>168</v>
      </c>
      <c r="F32" s="28" t="n">
        <v>44980</v>
      </c>
      <c r="G32" s="28" t="n">
        <v>45904</v>
      </c>
      <c r="H32" s="27" t="s">
        <v>73</v>
      </c>
      <c r="I32" s="27" t="s">
        <v>218</v>
      </c>
      <c r="J32" s="27" t="s">
        <v>218</v>
      </c>
      <c r="K32" s="27" t="s">
        <v>218</v>
      </c>
      <c r="L32" s="27" t="s">
        <v>218</v>
      </c>
      <c r="M32" s="27" t="s">
        <v>219</v>
      </c>
      <c r="N32" s="27" t="s">
        <v>220</v>
      </c>
      <c r="O32" s="29" t="n">
        <v>0</v>
      </c>
      <c r="P32" s="27" t="n">
        <f aca="false">4-COUNTIF(I32:L32,"Y")</f>
        <v>0</v>
      </c>
      <c r="Q32" s="27" t="n">
        <f aca="false">COUNTBLANK(A32:O32)</f>
        <v>0</v>
      </c>
      <c r="R32" s="27" t="str">
        <f aca="false">IF(P32&gt;0,"Incomplete - Docs",IF(M32&lt;&gt;"Clear","Incomplete - Screening","Complete"))</f>
        <v>Complete</v>
      </c>
      <c r="S32" s="27" t="n">
        <f aca="false">IFERROR(INDEX(Assumptions!$B$22:$B$39,MATCH(D32,Assumptions!$A$22:$A$39,0)),0)</f>
        <v>0</v>
      </c>
      <c r="T32" s="27" t="n">
        <f aca="false">IFERROR(INDEX(Assumptions!$F$22:$F$35,MATCH(E32,Assumptions!$E$22:$E$35,0)),0)</f>
        <v>2</v>
      </c>
      <c r="U32" s="27" t="n">
        <f aca="false">IFERROR(INDEX(Assumptions!$I$22:$I$25,MATCH(C32,Assumptions!$H$22:$H$25,0)),0)</f>
        <v>0</v>
      </c>
      <c r="V32" s="27" t="n">
        <f aca="false">S32+T32+U32+IF(N32="Y",Assumptions!$B$16,0)</f>
        <v>2</v>
      </c>
      <c r="W32" s="27" t="str">
        <f aca="false">IF(V32&gt;=Assumptions!$B$14,"High",IF(V32&gt;=Assumptions!$B$15,"Medium","Low"))</f>
        <v>Low</v>
      </c>
      <c r="X32" s="27" t="str">
        <f aca="false">IF(H32=W32,"OK",IF(((H32="High")*3+(H32="Medium")*2+(H32="Low"))&lt;((W32="High")*3+(W32="Medium")*2+(W32="Low")),"Under-rated","Over-rated"))</f>
        <v>OK</v>
      </c>
      <c r="Y32" s="27" t="n">
        <f aca="false">INDEX(Assumptions!$L$22:$L$24,MATCH(H32,Assumptions!$K$22:$K$24,0))</f>
        <v>3</v>
      </c>
      <c r="Z32" s="28" t="n">
        <f aca="false">EDATE(G32,12*Y32)</f>
        <v>47000</v>
      </c>
      <c r="AA32" s="27" t="str">
        <f aca="false">IF(Z32&lt;Assumptions!$B$4,"Overdue",IF(Z32&lt;=Assumptions!$B$4+60,"Due within 60 days","Current"))</f>
        <v>Current</v>
      </c>
      <c r="AB32" s="27" t="n">
        <f aca="false">MAX(0,Assumptions!$B$4-Z32)</f>
        <v>0</v>
      </c>
      <c r="AC32" s="27" t="str">
        <f aca="false">IF(COUNTIF($B$2:$B$41,B32)&gt;1,"Duplicate","OK")</f>
        <v>Duplicate</v>
      </c>
      <c r="AD32" s="27" t="str">
        <f aca="false">IF(G32&lt;F32,"Review before onboarding",IF(F32&gt;Assumptions!$B$4,"Future onboarding","OK"))</f>
        <v>OK</v>
      </c>
      <c r="AE32" s="27" t="n">
        <f aca="false">(P32&gt;0)+(Q32&gt;0)+(X32&lt;&gt;"OK")+(AC32&lt;&gt;"OK")+(AD32&lt;&gt;"OK")+(AA32="Overdue")</f>
        <v>1</v>
      </c>
    </row>
    <row r="33" customFormat="false" ht="15" hidden="false" customHeight="false" outlineLevel="0" collapsed="false">
      <c r="A33" s="27" t="s">
        <v>280</v>
      </c>
      <c r="B33" s="27" t="s">
        <v>281</v>
      </c>
      <c r="C33" s="27" t="s">
        <v>151</v>
      </c>
      <c r="D33" s="27" t="s">
        <v>176</v>
      </c>
      <c r="E33" s="27" t="s">
        <v>153</v>
      </c>
      <c r="F33" s="28" t="n">
        <v>44034</v>
      </c>
      <c r="G33" s="28" t="n">
        <v>45078</v>
      </c>
      <c r="H33" s="27" t="s">
        <v>73</v>
      </c>
      <c r="I33" s="27" t="s">
        <v>218</v>
      </c>
      <c r="J33" s="27" t="s">
        <v>218</v>
      </c>
      <c r="K33" s="27" t="s">
        <v>218</v>
      </c>
      <c r="L33" s="27" t="s">
        <v>218</v>
      </c>
      <c r="M33" s="27" t="s">
        <v>219</v>
      </c>
      <c r="N33" s="27" t="s">
        <v>220</v>
      </c>
      <c r="O33" s="29" t="n">
        <v>0</v>
      </c>
      <c r="P33" s="27" t="n">
        <f aca="false">4-COUNTIF(I33:L33,"Y")</f>
        <v>0</v>
      </c>
      <c r="Q33" s="27" t="n">
        <f aca="false">COUNTBLANK(A33:O33)</f>
        <v>0</v>
      </c>
      <c r="R33" s="27" t="str">
        <f aca="false">IF(P33&gt;0,"Incomplete - Docs",IF(M33&lt;&gt;"Clear","Incomplete - Screening","Complete"))</f>
        <v>Complete</v>
      </c>
      <c r="S33" s="27" t="n">
        <f aca="false">IFERROR(INDEX(Assumptions!$B$22:$B$39,MATCH(D33,Assumptions!$A$22:$A$39,0)),0)</f>
        <v>1</v>
      </c>
      <c r="T33" s="27" t="n">
        <f aca="false">IFERROR(INDEX(Assumptions!$F$22:$F$35,MATCH(E33,Assumptions!$E$22:$E$35,0)),0)</f>
        <v>0</v>
      </c>
      <c r="U33" s="27" t="n">
        <f aca="false">IFERROR(INDEX(Assumptions!$I$22:$I$25,MATCH(C33,Assumptions!$H$22:$H$25,0)),0)</f>
        <v>0</v>
      </c>
      <c r="V33" s="27" t="n">
        <f aca="false">S33+T33+U33+IF(N33="Y",Assumptions!$B$16,0)</f>
        <v>1</v>
      </c>
      <c r="W33" s="27" t="str">
        <f aca="false">IF(V33&gt;=Assumptions!$B$14,"High",IF(V33&gt;=Assumptions!$B$15,"Medium","Low"))</f>
        <v>Low</v>
      </c>
      <c r="X33" s="27" t="str">
        <f aca="false">IF(H33=W33,"OK",IF(((H33="High")*3+(H33="Medium")*2+(H33="Low"))&lt;((W33="High")*3+(W33="Medium")*2+(W33="Low")),"Under-rated","Over-rated"))</f>
        <v>OK</v>
      </c>
      <c r="Y33" s="27" t="n">
        <f aca="false">INDEX(Assumptions!$L$22:$L$24,MATCH(H33,Assumptions!$K$22:$K$24,0))</f>
        <v>3</v>
      </c>
      <c r="Z33" s="28" t="n">
        <f aca="false">EDATE(G33,12*Y33)</f>
        <v>46174</v>
      </c>
      <c r="AA33" s="27" t="str">
        <f aca="false">IF(Z33&lt;Assumptions!$B$4,"Overdue",IF(Z33&lt;=Assumptions!$B$4+60,"Due within 60 days","Current"))</f>
        <v>Overdue</v>
      </c>
      <c r="AB33" s="27" t="n">
        <f aca="false">MAX(0,Assumptions!$B$4-Z33)</f>
        <v>147</v>
      </c>
      <c r="AC33" s="27" t="str">
        <f aca="false">IF(COUNTIF($B$2:$B$41,B33)&gt;1,"Duplicate","OK")</f>
        <v>OK</v>
      </c>
      <c r="AD33" s="27" t="str">
        <f aca="false">IF(G33&lt;F33,"Review before onboarding",IF(F33&gt;Assumptions!$B$4,"Future onboarding","OK"))</f>
        <v>OK</v>
      </c>
      <c r="AE33" s="27" t="n">
        <f aca="false">(P33&gt;0)+(Q33&gt;0)+(X33&lt;&gt;"OK")+(AC33&lt;&gt;"OK")+(AD33&lt;&gt;"OK")+(AA33="Overdue")</f>
        <v>1</v>
      </c>
    </row>
    <row r="34" customFormat="false" ht="15" hidden="false" customHeight="false" outlineLevel="0" collapsed="false">
      <c r="A34" s="27" t="s">
        <v>282</v>
      </c>
      <c r="B34" s="27" t="s">
        <v>283</v>
      </c>
      <c r="C34" s="27" t="s">
        <v>151</v>
      </c>
      <c r="D34" s="27" t="s">
        <v>167</v>
      </c>
      <c r="E34" s="27" t="s">
        <v>156</v>
      </c>
      <c r="F34" s="28" t="n">
        <v>45193</v>
      </c>
      <c r="G34" s="28" t="n">
        <v>46189</v>
      </c>
      <c r="H34" s="27" t="s">
        <v>73</v>
      </c>
      <c r="I34" s="27" t="s">
        <v>218</v>
      </c>
      <c r="J34" s="27" t="s">
        <v>218</v>
      </c>
      <c r="K34" s="27" t="s">
        <v>220</v>
      </c>
      <c r="L34" s="27" t="s">
        <v>218</v>
      </c>
      <c r="M34" s="27" t="s">
        <v>219</v>
      </c>
      <c r="N34" s="27" t="s">
        <v>220</v>
      </c>
      <c r="O34" s="29" t="n">
        <v>0</v>
      </c>
      <c r="P34" s="27" t="n">
        <f aca="false">4-COUNTIF(I34:L34,"Y")</f>
        <v>1</v>
      </c>
      <c r="Q34" s="27" t="n">
        <f aca="false">COUNTBLANK(A34:O34)</f>
        <v>0</v>
      </c>
      <c r="R34" s="27" t="str">
        <f aca="false">IF(P34&gt;0,"Incomplete - Docs",IF(M34&lt;&gt;"Clear","Incomplete - Screening","Complete"))</f>
        <v>Incomplete - Docs</v>
      </c>
      <c r="S34" s="27" t="n">
        <f aca="false">IFERROR(INDEX(Assumptions!$B$22:$B$39,MATCH(D34,Assumptions!$A$22:$A$39,0)),0)</f>
        <v>0</v>
      </c>
      <c r="T34" s="27" t="n">
        <f aca="false">IFERROR(INDEX(Assumptions!$F$22:$F$35,MATCH(E34,Assumptions!$E$22:$E$35,0)),0)</f>
        <v>0</v>
      </c>
      <c r="U34" s="27" t="n">
        <f aca="false">IFERROR(INDEX(Assumptions!$I$22:$I$25,MATCH(C34,Assumptions!$H$22:$H$25,0)),0)</f>
        <v>0</v>
      </c>
      <c r="V34" s="27" t="n">
        <f aca="false">S34+T34+U34+IF(N34="Y",Assumptions!$B$16,0)</f>
        <v>0</v>
      </c>
      <c r="W34" s="27" t="str">
        <f aca="false">IF(V34&gt;=Assumptions!$B$14,"High",IF(V34&gt;=Assumptions!$B$15,"Medium","Low"))</f>
        <v>Low</v>
      </c>
      <c r="X34" s="27" t="str">
        <f aca="false">IF(H34=W34,"OK",IF(((H34="High")*3+(H34="Medium")*2+(H34="Low"))&lt;((W34="High")*3+(W34="Medium")*2+(W34="Low")),"Under-rated","Over-rated"))</f>
        <v>OK</v>
      </c>
      <c r="Y34" s="27" t="n">
        <f aca="false">INDEX(Assumptions!$L$22:$L$24,MATCH(H34,Assumptions!$K$22:$K$24,0))</f>
        <v>3</v>
      </c>
      <c r="Z34" s="28" t="n">
        <f aca="false">EDATE(G34,12*Y34)</f>
        <v>47285</v>
      </c>
      <c r="AA34" s="27" t="str">
        <f aca="false">IF(Z34&lt;Assumptions!$B$4,"Overdue",IF(Z34&lt;=Assumptions!$B$4+60,"Due within 60 days","Current"))</f>
        <v>Current</v>
      </c>
      <c r="AB34" s="27" t="n">
        <f aca="false">MAX(0,Assumptions!$B$4-Z34)</f>
        <v>0</v>
      </c>
      <c r="AC34" s="27" t="str">
        <f aca="false">IF(COUNTIF($B$2:$B$41,B34)&gt;1,"Duplicate","OK")</f>
        <v>OK</v>
      </c>
      <c r="AD34" s="27" t="str">
        <f aca="false">IF(G34&lt;F34,"Review before onboarding",IF(F34&gt;Assumptions!$B$4,"Future onboarding","OK"))</f>
        <v>OK</v>
      </c>
      <c r="AE34" s="27" t="n">
        <f aca="false">(P34&gt;0)+(Q34&gt;0)+(X34&lt;&gt;"OK")+(AC34&lt;&gt;"OK")+(AD34&lt;&gt;"OK")+(AA34="Overdue")</f>
        <v>1</v>
      </c>
    </row>
    <row r="35" customFormat="false" ht="15" hidden="false" customHeight="false" outlineLevel="0" collapsed="false">
      <c r="A35" s="27" t="s">
        <v>284</v>
      </c>
      <c r="B35" s="27" t="s">
        <v>285</v>
      </c>
      <c r="C35" s="27" t="s">
        <v>151</v>
      </c>
      <c r="D35" s="27" t="s">
        <v>155</v>
      </c>
      <c r="E35" s="27" t="s">
        <v>171</v>
      </c>
      <c r="F35" s="28" t="n">
        <v>43990</v>
      </c>
      <c r="G35" s="28" t="n">
        <v>45369</v>
      </c>
      <c r="H35" s="27" t="s">
        <v>73</v>
      </c>
      <c r="I35" s="27" t="s">
        <v>218</v>
      </c>
      <c r="J35" s="27" t="s">
        <v>218</v>
      </c>
      <c r="K35" s="27" t="s">
        <v>218</v>
      </c>
      <c r="L35" s="27" t="s">
        <v>218</v>
      </c>
      <c r="M35" s="27" t="s">
        <v>219</v>
      </c>
      <c r="N35" s="27" t="s">
        <v>220</v>
      </c>
      <c r="O35" s="29" t="n">
        <v>25000</v>
      </c>
      <c r="P35" s="27" t="n">
        <f aca="false">4-COUNTIF(I35:L35,"Y")</f>
        <v>0</v>
      </c>
      <c r="Q35" s="27" t="n">
        <f aca="false">COUNTBLANK(A35:O35)</f>
        <v>0</v>
      </c>
      <c r="R35" s="27" t="str">
        <f aca="false">IF(P35&gt;0,"Incomplete - Docs",IF(M35&lt;&gt;"Clear","Incomplete - Screening","Complete"))</f>
        <v>Complete</v>
      </c>
      <c r="S35" s="27" t="n">
        <f aca="false">IFERROR(INDEX(Assumptions!$B$22:$B$39,MATCH(D35,Assumptions!$A$22:$A$39,0)),0)</f>
        <v>0</v>
      </c>
      <c r="T35" s="27" t="n">
        <f aca="false">IFERROR(INDEX(Assumptions!$F$22:$F$35,MATCH(E35,Assumptions!$E$22:$E$35,0)),0)</f>
        <v>2</v>
      </c>
      <c r="U35" s="27" t="n">
        <f aca="false">IFERROR(INDEX(Assumptions!$I$22:$I$25,MATCH(C35,Assumptions!$H$22:$H$25,0)),0)</f>
        <v>0</v>
      </c>
      <c r="V35" s="27" t="n">
        <f aca="false">S35+T35+U35+IF(N35="Y",Assumptions!$B$16,0)</f>
        <v>2</v>
      </c>
      <c r="W35" s="27" t="str">
        <f aca="false">IF(V35&gt;=Assumptions!$B$14,"High",IF(V35&gt;=Assumptions!$B$15,"Medium","Low"))</f>
        <v>Low</v>
      </c>
      <c r="X35" s="27" t="str">
        <f aca="false">IF(H35=W35,"OK",IF(((H35="High")*3+(H35="Medium")*2+(H35="Low"))&lt;((W35="High")*3+(W35="Medium")*2+(W35="Low")),"Under-rated","Over-rated"))</f>
        <v>OK</v>
      </c>
      <c r="Y35" s="27" t="n">
        <f aca="false">INDEX(Assumptions!$L$22:$L$24,MATCH(H35,Assumptions!$K$22:$K$24,0))</f>
        <v>3</v>
      </c>
      <c r="Z35" s="28" t="n">
        <f aca="false">EDATE(G35,12*Y35)</f>
        <v>46464</v>
      </c>
      <c r="AA35" s="27" t="str">
        <f aca="false">IF(Z35&lt;Assumptions!$B$4,"Overdue",IF(Z35&lt;=Assumptions!$B$4+60,"Due within 60 days","Current"))</f>
        <v>Current</v>
      </c>
      <c r="AB35" s="27" t="n">
        <f aca="false">MAX(0,Assumptions!$B$4-Z35)</f>
        <v>0</v>
      </c>
      <c r="AC35" s="27" t="str">
        <f aca="false">IF(COUNTIF($B$2:$B$41,B35)&gt;1,"Duplicate","OK")</f>
        <v>OK</v>
      </c>
      <c r="AD35" s="27" t="str">
        <f aca="false">IF(G35&lt;F35,"Review before onboarding",IF(F35&gt;Assumptions!$B$4,"Future onboarding","OK"))</f>
        <v>OK</v>
      </c>
      <c r="AE35" s="27" t="n">
        <f aca="false">(P35&gt;0)+(Q35&gt;0)+(X35&lt;&gt;"OK")+(AC35&lt;&gt;"OK")+(AD35&lt;&gt;"OK")+(AA35="Overdue")</f>
        <v>0</v>
      </c>
    </row>
    <row r="36" customFormat="false" ht="15" hidden="false" customHeight="false" outlineLevel="0" collapsed="false">
      <c r="A36" s="27" t="s">
        <v>286</v>
      </c>
      <c r="B36" s="27" t="s">
        <v>287</v>
      </c>
      <c r="C36" s="27" t="s">
        <v>151</v>
      </c>
      <c r="D36" s="27" t="s">
        <v>167</v>
      </c>
      <c r="E36" s="27" t="s">
        <v>164</v>
      </c>
      <c r="F36" s="28" t="n">
        <v>43855</v>
      </c>
      <c r="G36" s="28" t="n">
        <v>45055</v>
      </c>
      <c r="H36" s="27" t="s">
        <v>73</v>
      </c>
      <c r="I36" s="27" t="s">
        <v>218</v>
      </c>
      <c r="J36" s="27" t="s">
        <v>218</v>
      </c>
      <c r="K36" s="27" t="s">
        <v>218</v>
      </c>
      <c r="L36" s="27" t="s">
        <v>218</v>
      </c>
      <c r="M36" s="27" t="s">
        <v>219</v>
      </c>
      <c r="N36" s="27" t="s">
        <v>220</v>
      </c>
      <c r="O36" s="29" t="n">
        <v>0</v>
      </c>
      <c r="P36" s="27" t="n">
        <f aca="false">4-COUNTIF(I36:L36,"Y")</f>
        <v>0</v>
      </c>
      <c r="Q36" s="27" t="n">
        <f aca="false">COUNTBLANK(A36:O36)</f>
        <v>0</v>
      </c>
      <c r="R36" s="27" t="str">
        <f aca="false">IF(P36&gt;0,"Incomplete - Docs",IF(M36&lt;&gt;"Clear","Incomplete - Screening","Complete"))</f>
        <v>Complete</v>
      </c>
      <c r="S36" s="27" t="n">
        <f aca="false">IFERROR(INDEX(Assumptions!$B$22:$B$39,MATCH(D36,Assumptions!$A$22:$A$39,0)),0)</f>
        <v>0</v>
      </c>
      <c r="T36" s="27" t="n">
        <f aca="false">IFERROR(INDEX(Assumptions!$F$22:$F$35,MATCH(E36,Assumptions!$E$22:$E$35,0)),0)</f>
        <v>1</v>
      </c>
      <c r="U36" s="27" t="n">
        <f aca="false">IFERROR(INDEX(Assumptions!$I$22:$I$25,MATCH(C36,Assumptions!$H$22:$H$25,0)),0)</f>
        <v>0</v>
      </c>
      <c r="V36" s="27" t="n">
        <f aca="false">S36+T36+U36+IF(N36="Y",Assumptions!$B$16,0)</f>
        <v>1</v>
      </c>
      <c r="W36" s="27" t="str">
        <f aca="false">IF(V36&gt;=Assumptions!$B$14,"High",IF(V36&gt;=Assumptions!$B$15,"Medium","Low"))</f>
        <v>Low</v>
      </c>
      <c r="X36" s="27" t="str">
        <f aca="false">IF(H36=W36,"OK",IF(((H36="High")*3+(H36="Medium")*2+(H36="Low"))&lt;((W36="High")*3+(W36="Medium")*2+(W36="Low")),"Under-rated","Over-rated"))</f>
        <v>OK</v>
      </c>
      <c r="Y36" s="27" t="n">
        <f aca="false">INDEX(Assumptions!$L$22:$L$24,MATCH(H36,Assumptions!$K$22:$K$24,0))</f>
        <v>3</v>
      </c>
      <c r="Z36" s="28" t="n">
        <f aca="false">EDATE(G36,12*Y36)</f>
        <v>46151</v>
      </c>
      <c r="AA36" s="27" t="str">
        <f aca="false">IF(Z36&lt;Assumptions!$B$4,"Overdue",IF(Z36&lt;=Assumptions!$B$4+60,"Due within 60 days","Current"))</f>
        <v>Overdue</v>
      </c>
      <c r="AB36" s="27" t="n">
        <f aca="false">MAX(0,Assumptions!$B$4-Z36)</f>
        <v>170</v>
      </c>
      <c r="AC36" s="27" t="str">
        <f aca="false">IF(COUNTIF($B$2:$B$41,B36)&gt;1,"Duplicate","OK")</f>
        <v>OK</v>
      </c>
      <c r="AD36" s="27" t="str">
        <f aca="false">IF(G36&lt;F36,"Review before onboarding",IF(F36&gt;Assumptions!$B$4,"Future onboarding","OK"))</f>
        <v>OK</v>
      </c>
      <c r="AE36" s="27" t="n">
        <f aca="false">(P36&gt;0)+(Q36&gt;0)+(X36&lt;&gt;"OK")+(AC36&lt;&gt;"OK")+(AD36&lt;&gt;"OK")+(AA36="Overdue")</f>
        <v>1</v>
      </c>
    </row>
    <row r="37" customFormat="false" ht="15" hidden="false" customHeight="false" outlineLevel="0" collapsed="false">
      <c r="A37" s="27" t="s">
        <v>288</v>
      </c>
      <c r="B37" s="27" t="s">
        <v>289</v>
      </c>
      <c r="C37" s="27" t="s">
        <v>151</v>
      </c>
      <c r="D37" s="27" t="s">
        <v>174</v>
      </c>
      <c r="E37" s="27" t="s">
        <v>164</v>
      </c>
      <c r="F37" s="28" t="n">
        <v>44975</v>
      </c>
      <c r="G37" s="28" t="n">
        <v>45393</v>
      </c>
      <c r="H37" s="27" t="s">
        <v>73</v>
      </c>
      <c r="I37" s="27" t="s">
        <v>218</v>
      </c>
      <c r="J37" s="27" t="s">
        <v>218</v>
      </c>
      <c r="K37" s="27" t="s">
        <v>218</v>
      </c>
      <c r="L37" s="27" t="s">
        <v>218</v>
      </c>
      <c r="M37" s="27" t="s">
        <v>290</v>
      </c>
      <c r="N37" s="27" t="s">
        <v>220</v>
      </c>
      <c r="O37" s="29" t="n">
        <v>0</v>
      </c>
      <c r="P37" s="27" t="n">
        <f aca="false">4-COUNTIF(I37:L37,"Y")</f>
        <v>0</v>
      </c>
      <c r="Q37" s="27" t="n">
        <f aca="false">COUNTBLANK(A37:O37)</f>
        <v>0</v>
      </c>
      <c r="R37" s="27" t="str">
        <f aca="false">IF(P37&gt;0,"Incomplete - Docs",IF(M37&lt;&gt;"Clear","Incomplete - Screening","Complete"))</f>
        <v>Incomplete - Screening</v>
      </c>
      <c r="S37" s="27" t="n">
        <f aca="false">IFERROR(INDEX(Assumptions!$B$22:$B$39,MATCH(D37,Assumptions!$A$22:$A$39,0)),0)</f>
        <v>1</v>
      </c>
      <c r="T37" s="27" t="n">
        <f aca="false">IFERROR(INDEX(Assumptions!$F$22:$F$35,MATCH(E37,Assumptions!$E$22:$E$35,0)),0)</f>
        <v>1</v>
      </c>
      <c r="U37" s="27" t="n">
        <f aca="false">IFERROR(INDEX(Assumptions!$I$22:$I$25,MATCH(C37,Assumptions!$H$22:$H$25,0)),0)</f>
        <v>0</v>
      </c>
      <c r="V37" s="27" t="n">
        <f aca="false">S37+T37+U37+IF(N37="Y",Assumptions!$B$16,0)</f>
        <v>2</v>
      </c>
      <c r="W37" s="27" t="str">
        <f aca="false">IF(V37&gt;=Assumptions!$B$14,"High",IF(V37&gt;=Assumptions!$B$15,"Medium","Low"))</f>
        <v>Low</v>
      </c>
      <c r="X37" s="27" t="str">
        <f aca="false">IF(H37=W37,"OK",IF(((H37="High")*3+(H37="Medium")*2+(H37="Low"))&lt;((W37="High")*3+(W37="Medium")*2+(W37="Low")),"Under-rated","Over-rated"))</f>
        <v>OK</v>
      </c>
      <c r="Y37" s="27" t="n">
        <f aca="false">INDEX(Assumptions!$L$22:$L$24,MATCH(H37,Assumptions!$K$22:$K$24,0))</f>
        <v>3</v>
      </c>
      <c r="Z37" s="28" t="n">
        <f aca="false">EDATE(G37,12*Y37)</f>
        <v>46488</v>
      </c>
      <c r="AA37" s="27" t="str">
        <f aca="false">IF(Z37&lt;Assumptions!$B$4,"Overdue",IF(Z37&lt;=Assumptions!$B$4+60,"Due within 60 days","Current"))</f>
        <v>Current</v>
      </c>
      <c r="AB37" s="27" t="n">
        <f aca="false">MAX(0,Assumptions!$B$4-Z37)</f>
        <v>0</v>
      </c>
      <c r="AC37" s="27" t="str">
        <f aca="false">IF(COUNTIF($B$2:$B$41,B37)&gt;1,"Duplicate","OK")</f>
        <v>OK</v>
      </c>
      <c r="AD37" s="27" t="str">
        <f aca="false">IF(G37&lt;F37,"Review before onboarding",IF(F37&gt;Assumptions!$B$4,"Future onboarding","OK"))</f>
        <v>OK</v>
      </c>
      <c r="AE37" s="27" t="n">
        <f aca="false">(P37&gt;0)+(Q37&gt;0)+(X37&lt;&gt;"OK")+(AC37&lt;&gt;"OK")+(AD37&lt;&gt;"OK")+(AA37="Overdue")</f>
        <v>0</v>
      </c>
    </row>
    <row r="38" customFormat="false" ht="15" hidden="false" customHeight="false" outlineLevel="0" collapsed="false">
      <c r="A38" s="27" t="s">
        <v>291</v>
      </c>
      <c r="B38" s="27" t="s">
        <v>292</v>
      </c>
      <c r="C38" s="27" t="s">
        <v>151</v>
      </c>
      <c r="D38" s="27" t="s">
        <v>152</v>
      </c>
      <c r="E38" s="27" t="s">
        <v>150</v>
      </c>
      <c r="F38" s="28" t="n">
        <v>44629</v>
      </c>
      <c r="G38" s="28" t="n">
        <v>45846</v>
      </c>
      <c r="H38" s="27" t="s">
        <v>73</v>
      </c>
      <c r="I38" s="27" t="s">
        <v>218</v>
      </c>
      <c r="J38" s="27" t="s">
        <v>218</v>
      </c>
      <c r="K38" s="27" t="s">
        <v>218</v>
      </c>
      <c r="L38" s="27" t="s">
        <v>218</v>
      </c>
      <c r="M38" s="27" t="s">
        <v>219</v>
      </c>
      <c r="N38" s="27" t="s">
        <v>220</v>
      </c>
      <c r="O38" s="29" t="n">
        <v>0</v>
      </c>
      <c r="P38" s="27" t="n">
        <f aca="false">4-COUNTIF(I38:L38,"Y")</f>
        <v>0</v>
      </c>
      <c r="Q38" s="27" t="n">
        <f aca="false">COUNTBLANK(A38:O38)</f>
        <v>0</v>
      </c>
      <c r="R38" s="27" t="str">
        <f aca="false">IF(P38&gt;0,"Incomplete - Docs",IF(M38&lt;&gt;"Clear","Incomplete - Screening","Complete"))</f>
        <v>Complete</v>
      </c>
      <c r="S38" s="27" t="n">
        <f aca="false">IFERROR(INDEX(Assumptions!$B$22:$B$39,MATCH(D38,Assumptions!$A$22:$A$39,0)),0)</f>
        <v>0</v>
      </c>
      <c r="T38" s="27" t="n">
        <f aca="false">IFERROR(INDEX(Assumptions!$F$22:$F$35,MATCH(E38,Assumptions!$E$22:$E$35,0)),0)</f>
        <v>0</v>
      </c>
      <c r="U38" s="27" t="n">
        <f aca="false">IFERROR(INDEX(Assumptions!$I$22:$I$25,MATCH(C38,Assumptions!$H$22:$H$25,0)),0)</f>
        <v>0</v>
      </c>
      <c r="V38" s="27" t="n">
        <f aca="false">S38+T38+U38+IF(N38="Y",Assumptions!$B$16,0)</f>
        <v>0</v>
      </c>
      <c r="W38" s="27" t="str">
        <f aca="false">IF(V38&gt;=Assumptions!$B$14,"High",IF(V38&gt;=Assumptions!$B$15,"Medium","Low"))</f>
        <v>Low</v>
      </c>
      <c r="X38" s="27" t="str">
        <f aca="false">IF(H38=W38,"OK",IF(((H38="High")*3+(H38="Medium")*2+(H38="Low"))&lt;((W38="High")*3+(W38="Medium")*2+(W38="Low")),"Under-rated","Over-rated"))</f>
        <v>OK</v>
      </c>
      <c r="Y38" s="27" t="n">
        <f aca="false">INDEX(Assumptions!$L$22:$L$24,MATCH(H38,Assumptions!$K$22:$K$24,0))</f>
        <v>3</v>
      </c>
      <c r="Z38" s="28" t="n">
        <f aca="false">EDATE(G38,12*Y38)</f>
        <v>46942</v>
      </c>
      <c r="AA38" s="27" t="str">
        <f aca="false">IF(Z38&lt;Assumptions!$B$4,"Overdue",IF(Z38&lt;=Assumptions!$B$4+60,"Due within 60 days","Current"))</f>
        <v>Current</v>
      </c>
      <c r="AB38" s="27" t="n">
        <f aca="false">MAX(0,Assumptions!$B$4-Z38)</f>
        <v>0</v>
      </c>
      <c r="AC38" s="27" t="str">
        <f aca="false">IF(COUNTIF($B$2:$B$41,B38)&gt;1,"Duplicate","OK")</f>
        <v>OK</v>
      </c>
      <c r="AD38" s="27" t="str">
        <f aca="false">IF(G38&lt;F38,"Review before onboarding",IF(F38&gt;Assumptions!$B$4,"Future onboarding","OK"))</f>
        <v>OK</v>
      </c>
      <c r="AE38" s="27" t="n">
        <f aca="false">(P38&gt;0)+(Q38&gt;0)+(X38&lt;&gt;"OK")+(AC38&lt;&gt;"OK")+(AD38&lt;&gt;"OK")+(AA38="Overdue")</f>
        <v>0</v>
      </c>
    </row>
    <row r="39" customFormat="false" ht="15" hidden="false" customHeight="false" outlineLevel="0" collapsed="false">
      <c r="A39" s="27" t="s">
        <v>293</v>
      </c>
      <c r="B39" s="27" t="s">
        <v>294</v>
      </c>
      <c r="C39" s="27" t="s">
        <v>151</v>
      </c>
      <c r="D39" s="27" t="s">
        <v>155</v>
      </c>
      <c r="E39" s="27" t="s">
        <v>156</v>
      </c>
      <c r="F39" s="28" t="n">
        <v>46296</v>
      </c>
      <c r="G39" s="28" t="n">
        <v>46296</v>
      </c>
      <c r="H39" s="27" t="s">
        <v>73</v>
      </c>
      <c r="I39" s="27" t="s">
        <v>220</v>
      </c>
      <c r="J39" s="27" t="s">
        <v>220</v>
      </c>
      <c r="K39" s="27"/>
      <c r="L39" s="27" t="s">
        <v>220</v>
      </c>
      <c r="M39" s="27" t="s">
        <v>295</v>
      </c>
      <c r="N39" s="27" t="s">
        <v>220</v>
      </c>
      <c r="O39" s="29" t="n">
        <v>0</v>
      </c>
      <c r="P39" s="27" t="n">
        <f aca="false">4-COUNTIF(I39:L39,"Y")</f>
        <v>4</v>
      </c>
      <c r="Q39" s="27" t="n">
        <f aca="false">COUNTBLANK(A39:O39)</f>
        <v>1</v>
      </c>
      <c r="R39" s="27" t="str">
        <f aca="false">IF(P39&gt;0,"Incomplete - Docs",IF(M39&lt;&gt;"Clear","Incomplete - Screening","Complete"))</f>
        <v>Incomplete - Docs</v>
      </c>
      <c r="S39" s="27" t="n">
        <f aca="false">IFERROR(INDEX(Assumptions!$B$22:$B$39,MATCH(D39,Assumptions!$A$22:$A$39,0)),0)</f>
        <v>0</v>
      </c>
      <c r="T39" s="27" t="n">
        <f aca="false">IFERROR(INDEX(Assumptions!$F$22:$F$35,MATCH(E39,Assumptions!$E$22:$E$35,0)),0)</f>
        <v>0</v>
      </c>
      <c r="U39" s="27" t="n">
        <f aca="false">IFERROR(INDEX(Assumptions!$I$22:$I$25,MATCH(C39,Assumptions!$H$22:$H$25,0)),0)</f>
        <v>0</v>
      </c>
      <c r="V39" s="27" t="n">
        <f aca="false">S39+T39+U39+IF(N39="Y",Assumptions!$B$16,0)</f>
        <v>0</v>
      </c>
      <c r="W39" s="27" t="str">
        <f aca="false">IF(V39&gt;=Assumptions!$B$14,"High",IF(V39&gt;=Assumptions!$B$15,"Medium","Low"))</f>
        <v>Low</v>
      </c>
      <c r="X39" s="27" t="str">
        <f aca="false">IF(H39=W39,"OK",IF(((H39="High")*3+(H39="Medium")*2+(H39="Low"))&lt;((W39="High")*3+(W39="Medium")*2+(W39="Low")),"Under-rated","Over-rated"))</f>
        <v>OK</v>
      </c>
      <c r="Y39" s="27" t="n">
        <f aca="false">INDEX(Assumptions!$L$22:$L$24,MATCH(H39,Assumptions!$K$22:$K$24,0))</f>
        <v>3</v>
      </c>
      <c r="Z39" s="28" t="n">
        <f aca="false">EDATE(G39,12*Y39)</f>
        <v>47392</v>
      </c>
      <c r="AA39" s="27" t="str">
        <f aca="false">IF(Z39&lt;Assumptions!$B$4,"Overdue",IF(Z39&lt;=Assumptions!$B$4+60,"Due within 60 days","Current"))</f>
        <v>Current</v>
      </c>
      <c r="AB39" s="27" t="n">
        <f aca="false">MAX(0,Assumptions!$B$4-Z39)</f>
        <v>0</v>
      </c>
      <c r="AC39" s="27" t="str">
        <f aca="false">IF(COUNTIF($B$2:$B$41,B39)&gt;1,"Duplicate","OK")</f>
        <v>OK</v>
      </c>
      <c r="AD39" s="27" t="str">
        <f aca="false">IF(G39&lt;F39,"Review before onboarding",IF(F39&gt;Assumptions!$B$4,"Future onboarding","OK"))</f>
        <v>OK</v>
      </c>
      <c r="AE39" s="27" t="n">
        <f aca="false">(P39&gt;0)+(Q39&gt;0)+(X39&lt;&gt;"OK")+(AC39&lt;&gt;"OK")+(AD39&lt;&gt;"OK")+(AA39="Overdue")</f>
        <v>2</v>
      </c>
    </row>
    <row r="40" customFormat="false" ht="15" hidden="false" customHeight="false" outlineLevel="0" collapsed="false">
      <c r="A40" s="27" t="s">
        <v>296</v>
      </c>
      <c r="B40" s="27" t="s">
        <v>297</v>
      </c>
      <c r="C40" s="27" t="s">
        <v>151</v>
      </c>
      <c r="D40" s="27" t="s">
        <v>152</v>
      </c>
      <c r="E40" s="27" t="s">
        <v>175</v>
      </c>
      <c r="F40" s="28" t="n">
        <v>43744</v>
      </c>
      <c r="G40" s="28" t="n">
        <v>45460</v>
      </c>
      <c r="H40" s="27" t="s">
        <v>73</v>
      </c>
      <c r="I40" s="27" t="s">
        <v>218</v>
      </c>
      <c r="J40" s="27" t="s">
        <v>218</v>
      </c>
      <c r="K40" s="27" t="s">
        <v>218</v>
      </c>
      <c r="L40" s="27" t="s">
        <v>218</v>
      </c>
      <c r="M40" s="27" t="s">
        <v>219</v>
      </c>
      <c r="N40" s="27" t="s">
        <v>220</v>
      </c>
      <c r="O40" s="29" t="n">
        <v>35000</v>
      </c>
      <c r="P40" s="27" t="n">
        <f aca="false">4-COUNTIF(I40:L40,"Y")</f>
        <v>0</v>
      </c>
      <c r="Q40" s="27" t="n">
        <f aca="false">COUNTBLANK(A40:O40)</f>
        <v>0</v>
      </c>
      <c r="R40" s="27" t="str">
        <f aca="false">IF(P40&gt;0,"Incomplete - Docs",IF(M40&lt;&gt;"Clear","Incomplete - Screening","Complete"))</f>
        <v>Complete</v>
      </c>
      <c r="S40" s="27" t="n">
        <f aca="false">IFERROR(INDEX(Assumptions!$B$22:$B$39,MATCH(D40,Assumptions!$A$22:$A$39,0)),0)</f>
        <v>0</v>
      </c>
      <c r="T40" s="27" t="n">
        <f aca="false">IFERROR(INDEX(Assumptions!$F$22:$F$35,MATCH(E40,Assumptions!$E$22:$E$35,0)),0)</f>
        <v>2</v>
      </c>
      <c r="U40" s="27" t="n">
        <f aca="false">IFERROR(INDEX(Assumptions!$I$22:$I$25,MATCH(C40,Assumptions!$H$22:$H$25,0)),0)</f>
        <v>0</v>
      </c>
      <c r="V40" s="27" t="n">
        <f aca="false">S40+T40+U40+IF(N40="Y",Assumptions!$B$16,0)</f>
        <v>2</v>
      </c>
      <c r="W40" s="27" t="str">
        <f aca="false">IF(V40&gt;=Assumptions!$B$14,"High",IF(V40&gt;=Assumptions!$B$15,"Medium","Low"))</f>
        <v>Low</v>
      </c>
      <c r="X40" s="27" t="str">
        <f aca="false">IF(H40=W40,"OK",IF(((H40="High")*3+(H40="Medium")*2+(H40="Low"))&lt;((W40="High")*3+(W40="Medium")*2+(W40="Low")),"Under-rated","Over-rated"))</f>
        <v>OK</v>
      </c>
      <c r="Y40" s="27" t="n">
        <f aca="false">INDEX(Assumptions!$L$22:$L$24,MATCH(H40,Assumptions!$K$22:$K$24,0))</f>
        <v>3</v>
      </c>
      <c r="Z40" s="28" t="n">
        <f aca="false">EDATE(G40,12*Y40)</f>
        <v>46555</v>
      </c>
      <c r="AA40" s="27" t="str">
        <f aca="false">IF(Z40&lt;Assumptions!$B$4,"Overdue",IF(Z40&lt;=Assumptions!$B$4+60,"Due within 60 days","Current"))</f>
        <v>Current</v>
      </c>
      <c r="AB40" s="27" t="n">
        <f aca="false">MAX(0,Assumptions!$B$4-Z40)</f>
        <v>0</v>
      </c>
      <c r="AC40" s="27" t="str">
        <f aca="false">IF(COUNTIF($B$2:$B$41,B40)&gt;1,"Duplicate","OK")</f>
        <v>OK</v>
      </c>
      <c r="AD40" s="27" t="str">
        <f aca="false">IF(G40&lt;F40,"Review before onboarding",IF(F40&gt;Assumptions!$B$4,"Future onboarding","OK"))</f>
        <v>OK</v>
      </c>
      <c r="AE40" s="27" t="n">
        <f aca="false">(P40&gt;0)+(Q40&gt;0)+(X40&lt;&gt;"OK")+(AC40&lt;&gt;"OK")+(AD40&lt;&gt;"OK")+(AA40="Overdue")</f>
        <v>0</v>
      </c>
    </row>
    <row r="41" customFormat="false" ht="15" hidden="false" customHeight="false" outlineLevel="0" collapsed="false">
      <c r="A41" s="27" t="s">
        <v>298</v>
      </c>
      <c r="B41" s="27" t="s">
        <v>299</v>
      </c>
      <c r="C41" s="27" t="s">
        <v>151</v>
      </c>
      <c r="D41" s="27" t="s">
        <v>155</v>
      </c>
      <c r="E41" s="27" t="s">
        <v>153</v>
      </c>
      <c r="F41" s="28" t="n">
        <v>43985</v>
      </c>
      <c r="G41" s="28" t="n">
        <v>45394</v>
      </c>
      <c r="H41" s="27" t="s">
        <v>73</v>
      </c>
      <c r="I41" s="27" t="s">
        <v>218</v>
      </c>
      <c r="J41" s="27" t="s">
        <v>218</v>
      </c>
      <c r="K41" s="27" t="s">
        <v>218</v>
      </c>
      <c r="L41" s="27" t="s">
        <v>218</v>
      </c>
      <c r="M41" s="27" t="s">
        <v>219</v>
      </c>
      <c r="N41" s="27" t="s">
        <v>220</v>
      </c>
      <c r="O41" s="29" t="n">
        <v>0</v>
      </c>
      <c r="P41" s="27" t="n">
        <f aca="false">4-COUNTIF(I41:L41,"Y")</f>
        <v>0</v>
      </c>
      <c r="Q41" s="27" t="n">
        <f aca="false">COUNTBLANK(A41:O41)</f>
        <v>0</v>
      </c>
      <c r="R41" s="27" t="str">
        <f aca="false">IF(P41&gt;0,"Incomplete - Docs",IF(M41&lt;&gt;"Clear","Incomplete - Screening","Complete"))</f>
        <v>Complete</v>
      </c>
      <c r="S41" s="27" t="n">
        <f aca="false">IFERROR(INDEX(Assumptions!$B$22:$B$39,MATCH(D41,Assumptions!$A$22:$A$39,0)),0)</f>
        <v>0</v>
      </c>
      <c r="T41" s="27" t="n">
        <f aca="false">IFERROR(INDEX(Assumptions!$F$22:$F$35,MATCH(E41,Assumptions!$E$22:$E$35,0)),0)</f>
        <v>0</v>
      </c>
      <c r="U41" s="27" t="n">
        <f aca="false">IFERROR(INDEX(Assumptions!$I$22:$I$25,MATCH(C41,Assumptions!$H$22:$H$25,0)),0)</f>
        <v>0</v>
      </c>
      <c r="V41" s="27" t="n">
        <f aca="false">S41+T41+U41+IF(N41="Y",Assumptions!$B$16,0)</f>
        <v>0</v>
      </c>
      <c r="W41" s="27" t="str">
        <f aca="false">IF(V41&gt;=Assumptions!$B$14,"High",IF(V41&gt;=Assumptions!$B$15,"Medium","Low"))</f>
        <v>Low</v>
      </c>
      <c r="X41" s="27" t="str">
        <f aca="false">IF(H41=W41,"OK",IF(((H41="High")*3+(H41="Medium")*2+(H41="Low"))&lt;((W41="High")*3+(W41="Medium")*2+(W41="Low")),"Under-rated","Over-rated"))</f>
        <v>OK</v>
      </c>
      <c r="Y41" s="27" t="n">
        <f aca="false">INDEX(Assumptions!$L$22:$L$24,MATCH(H41,Assumptions!$K$22:$K$24,0))</f>
        <v>3</v>
      </c>
      <c r="Z41" s="28" t="n">
        <f aca="false">EDATE(G41,12*Y41)</f>
        <v>46489</v>
      </c>
      <c r="AA41" s="27" t="str">
        <f aca="false">IF(Z41&lt;Assumptions!$B$4,"Overdue",IF(Z41&lt;=Assumptions!$B$4+60,"Due within 60 days","Current"))</f>
        <v>Current</v>
      </c>
      <c r="AB41" s="27" t="n">
        <f aca="false">MAX(0,Assumptions!$B$4-Z41)</f>
        <v>0</v>
      </c>
      <c r="AC41" s="27" t="str">
        <f aca="false">IF(COUNTIF($B$2:$B$41,B41)&gt;1,"Duplicate","OK")</f>
        <v>OK</v>
      </c>
      <c r="AD41" s="27" t="str">
        <f aca="false">IF(G41&lt;F41,"Review before onboarding",IF(F41&gt;Assumptions!$B$4,"Future onboarding","OK"))</f>
        <v>OK</v>
      </c>
      <c r="AE41" s="27" t="n">
        <f aca="false">(P41&gt;0)+(Q41&gt;0)+(X41&lt;&gt;"OK")+(AC41&lt;&gt;"OK")+(AD41&lt;&gt;"OK")+(AA41="Overdue")</f>
        <v>0</v>
      </c>
    </row>
  </sheetData>
  <autoFilter ref="A1:AE41"/>
  <conditionalFormatting sqref="R2:R41">
    <cfRule type="expression" priority="2" aboveAverage="0" equalAverage="0" bottom="0" percent="0" rank="0" text="" dxfId="10">
      <formula>ISNUMBER(SEARCH("Incomplete",R2))</formula>
    </cfRule>
    <cfRule type="expression" priority="3" aboveAverage="0" equalAverage="0" bottom="0" percent="0" rank="0" text="" dxfId="11">
      <formula>ISNUMBER(SEARCH("Complete",R2))</formula>
    </cfRule>
  </conditionalFormatting>
  <conditionalFormatting sqref="X2:X41">
    <cfRule type="expression" priority="4" aboveAverage="0" equalAverage="0" bottom="0" percent="0" rank="0" text="" dxfId="12">
      <formula>ISNUMBER(SEARCH("rated",X2))</formula>
    </cfRule>
  </conditionalFormatting>
  <conditionalFormatting sqref="AA2:AA41">
    <cfRule type="expression" priority="5" aboveAverage="0" equalAverage="0" bottom="0" percent="0" rank="0" text="" dxfId="12">
      <formula>ISNUMBER(SEARCH("Overdue",AA2))</formula>
    </cfRule>
    <cfRule type="expression" priority="6" aboveAverage="0" equalAverage="0" bottom="0" percent="0" rank="0" text="" dxfId="10">
      <formula>ISNUMBER(SEARCH("Due within",AA2))</formula>
    </cfRule>
  </conditionalFormatting>
  <conditionalFormatting sqref="AC2:AC41">
    <cfRule type="expression" priority="7" aboveAverage="0" equalAverage="0" bottom="0" percent="0" rank="0" text="" dxfId="12">
      <formula>ISNUMBER(SEARCH("Duplicate",AC2))</formula>
    </cfRule>
  </conditionalFormatting>
  <conditionalFormatting sqref="AD2:AD41">
    <cfRule type="expression" priority="8" aboveAverage="0" equalAverage="0" bottom="0" percent="0" rank="0" text="" dxfId="12">
      <formula>ISNUMBER(SEARCH("before",AD2))</formula>
    </cfRule>
    <cfRule type="expression" priority="9" aboveAverage="0" equalAverage="0" bottom="0" percent="0" rank="0" text="" dxfId="12">
      <formula>ISNUMBER(SEARCH("Future",AD2))</formula>
    </cfRule>
  </conditionalFormatting>
  <conditionalFormatting sqref="M2:M41">
    <cfRule type="expression" priority="10" aboveAverage="0" equalAverage="0" bottom="0" percent="0" rank="0" text="" dxfId="12">
      <formula>ISNUMBER(SEARCH("Potential",M2))</formula>
    </cfRule>
    <cfRule type="expression" priority="11" aboveAverage="0" equalAverage="0" bottom="0" percent="0" rank="0" text="" dxfId="10">
      <formula>ISNUMBER(SEARCH("Not Done",M2))</formula>
    </cfRule>
  </conditionalFormatting>
  <conditionalFormatting sqref="N2:N41">
    <cfRule type="expression" priority="12" aboveAverage="0" equalAverage="0" bottom="0" percent="0" rank="0" text="" dxfId="10">
      <formula>ISNUMBER(SEARCH("Y",N2))</formula>
    </cfRule>
  </conditionalFormatting>
  <conditionalFormatting sqref="I2:I41">
    <cfRule type="expression" priority="13" aboveAverage="0" equalAverage="0" bottom="0" percent="0" rank="0" text="" dxfId="12">
      <formula>ISNUMBER(SEARCH("N",I2))</formula>
    </cfRule>
  </conditionalFormatting>
  <conditionalFormatting sqref="J2:J41">
    <cfRule type="expression" priority="14" aboveAverage="0" equalAverage="0" bottom="0" percent="0" rank="0" text="" dxfId="12">
      <formula>ISNUMBER(SEARCH("N",J2))</formula>
    </cfRule>
  </conditionalFormatting>
  <conditionalFormatting sqref="K2:K41">
    <cfRule type="expression" priority="15" aboveAverage="0" equalAverage="0" bottom="0" percent="0" rank="0" text="" dxfId="12">
      <formula>ISNUMBER(SEARCH("N",K2))</formula>
    </cfRule>
  </conditionalFormatting>
  <conditionalFormatting sqref="L2:L41">
    <cfRule type="expression" priority="16" aboveAverage="0" equalAverage="0" bottom="0" percent="0" rank="0" text="" dxfId="12">
      <formula>ISNUMBER(SEARCH("N",L2))</formula>
    </cfRule>
  </conditionalFormatting>
  <dataValidations count="10">
    <dataValidation allowBlank="true" errorStyle="stop" operator="between" showDropDown="false" showErrorMessage="false" showInputMessage="false" sqref="H2:H41" type="list">
      <formula1>"High,Medium,Low"</formula1>
      <formula2>0</formula2>
    </dataValidation>
    <dataValidation allowBlank="true" errorStyle="stop" operator="between" showDropDown="false" showErrorMessage="false" showInputMessage="false" sqref="I2:I41" type="list">
      <formula1>"Y,N"</formula1>
      <formula2>0</formula2>
    </dataValidation>
    <dataValidation allowBlank="true" errorStyle="stop" operator="between" showDropDown="false" showErrorMessage="false" showInputMessage="false" sqref="J2:J41" type="list">
      <formula1>"Y,N"</formula1>
      <formula2>0</formula2>
    </dataValidation>
    <dataValidation allowBlank="true" errorStyle="stop" operator="between" showDropDown="false" showErrorMessage="false" showInputMessage="false" sqref="K2:K41" type="list">
      <formula1>"Y,N"</formula1>
      <formula2>0</formula2>
    </dataValidation>
    <dataValidation allowBlank="true" errorStyle="stop" operator="between" showDropDown="false" showErrorMessage="false" showInputMessage="false" sqref="L2:L41" type="list">
      <formula1>"Y,N"</formula1>
      <formula2>0</formula2>
    </dataValidation>
    <dataValidation allowBlank="true" errorStyle="stop" operator="between" showDropDown="false" showErrorMessage="false" showInputMessage="false" sqref="N2:N41" type="list">
      <formula1>"Y,N"</formula1>
      <formula2>0</formula2>
    </dataValidation>
    <dataValidation allowBlank="true" errorStyle="stop" operator="between" showDropDown="false" showErrorMessage="false" showInputMessage="false" sqref="M2:M41" type="list">
      <formula1>"Clear,Potential Match,Not Done"</formula1>
      <formula2>0</formula2>
    </dataValidation>
    <dataValidation allowBlank="true" errorStyle="stop" operator="between" showDropDown="false" showErrorMessage="false" showInputMessage="false" sqref="C2:C41" type="list">
      <formula1>Assumptions!$H$22:$H$25</formula1>
      <formula2>0</formula2>
    </dataValidation>
    <dataValidation allowBlank="true" errorStyle="stop" operator="between" showDropDown="false" showErrorMessage="false" showInputMessage="false" sqref="D2:D41" type="list">
      <formula1>Assumptions!$A$22:$A$39</formula1>
      <formula2>0</formula2>
    </dataValidation>
    <dataValidation allowBlank="true" errorStyle="stop" operator="between" showDropDown="false" showErrorMessage="false" showInputMessage="false" sqref="E2:E41" type="list">
      <formula1>Assumptions!$E$22:$E$35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36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22"/>
  </cols>
  <sheetData>
    <row r="1" customFormat="false" ht="54" hidden="false" customHeight="true" outlineLevel="0" collapsed="false">
      <c r="A1" s="25" t="s">
        <v>300</v>
      </c>
      <c r="B1" s="25" t="s">
        <v>301</v>
      </c>
      <c r="C1" s="25" t="s">
        <v>189</v>
      </c>
      <c r="D1" s="25" t="s">
        <v>302</v>
      </c>
      <c r="E1" s="25" t="s">
        <v>303</v>
      </c>
      <c r="F1" s="25" t="s">
        <v>304</v>
      </c>
      <c r="G1" s="25" t="s">
        <v>305</v>
      </c>
      <c r="H1" s="26" t="s">
        <v>306</v>
      </c>
      <c r="I1" s="26" t="s">
        <v>307</v>
      </c>
      <c r="J1" s="26" t="s">
        <v>308</v>
      </c>
      <c r="K1" s="26" t="s">
        <v>309</v>
      </c>
      <c r="L1" s="26" t="s">
        <v>310</v>
      </c>
      <c r="M1" s="26" t="s">
        <v>311</v>
      </c>
      <c r="N1" s="26" t="s">
        <v>312</v>
      </c>
      <c r="O1" s="26" t="s">
        <v>313</v>
      </c>
    </row>
    <row r="2" customFormat="false" ht="15" hidden="false" customHeight="false" outlineLevel="0" collapsed="false">
      <c r="A2" s="27" t="s">
        <v>314</v>
      </c>
      <c r="B2" s="28" t="n">
        <v>46266</v>
      </c>
      <c r="C2" s="27" t="s">
        <v>223</v>
      </c>
      <c r="D2" s="27" t="s">
        <v>315</v>
      </c>
      <c r="E2" s="29" t="n">
        <v>17700</v>
      </c>
      <c r="F2" s="27" t="s">
        <v>167</v>
      </c>
      <c r="G2" s="27" t="s">
        <v>316</v>
      </c>
      <c r="H2" s="27" t="str">
        <f aca="false">IFERROR(INDEX(Client_Master!$B$2:$B$41,MATCH(C2,Client_Master!$A$2:$A$41,0)),"UNKNOWN CLIENT")</f>
        <v>Lotus Healthcare Systems Ltd</v>
      </c>
      <c r="I2" s="27" t="str">
        <f aca="false">IF(LEFT(D2,4)="Cash","Y","N")</f>
        <v>N</v>
      </c>
      <c r="J2" s="27" t="str">
        <f aca="false">IF(OR(D2="Cash Deposit",D2="Wire In"),"In","Out")</f>
        <v>In</v>
      </c>
      <c r="K2" s="27" t="str">
        <f aca="false">IF(AND(I2="Y",E2&gt;=Assumptions!$B$6,E2&lt;=Assumptions!$B$5),"Y","N")</f>
        <v>N</v>
      </c>
      <c r="L2" s="27" t="n">
        <f aca="false">IFERROR(INDEX(Assumptions!$B$22:$B$39,MATCH(F2,Assumptions!$A$22:$A$39,0)),0)</f>
        <v>0</v>
      </c>
      <c r="M2" s="29" t="n">
        <f aca="false">IF(I2="Y",SUMIFS($E$2:$E$114,$C$2:$C$114,C2,$B$2:$B$114,B2,$I$2:$I$114,"Y",$J$2:$J$114,J2),0)</f>
        <v>0</v>
      </c>
      <c r="N2" s="27" t="str">
        <f aca="false">IF(M2&gt;Assumptions!$B$5,"CTR","")</f>
        <v/>
      </c>
      <c r="O2" s="27" t="str">
        <f aca="false">IFERROR(INDEX(Client_Master!$R$2:$R$41,MATCH(C2,Client_Master!$A$2:$A$41,0)),"No KYC record")</f>
        <v>Complete</v>
      </c>
    </row>
    <row r="3" customFormat="false" ht="15" hidden="false" customHeight="false" outlineLevel="0" collapsed="false">
      <c r="A3" s="27" t="s">
        <v>317</v>
      </c>
      <c r="B3" s="28" t="n">
        <v>46266</v>
      </c>
      <c r="C3" s="27" t="s">
        <v>263</v>
      </c>
      <c r="D3" s="27" t="s">
        <v>318</v>
      </c>
      <c r="E3" s="29" t="n">
        <v>78700</v>
      </c>
      <c r="F3" s="27" t="s">
        <v>161</v>
      </c>
      <c r="G3" s="27" t="s">
        <v>319</v>
      </c>
      <c r="H3" s="27" t="str">
        <f aca="false">IFERROR(INDEX(Client_Master!$B$2:$B$41,MATCH(C3,Client_Master!$A$2:$A$41,0)),"UNKNOWN CLIENT")</f>
        <v>Cedar Hill Property Holdings Ltd</v>
      </c>
      <c r="I3" s="27" t="str">
        <f aca="false">IF(LEFT(D3,4)="Cash","Y","N")</f>
        <v>N</v>
      </c>
      <c r="J3" s="27" t="str">
        <f aca="false">IF(OR(D3="Cash Deposit",D3="Wire In"),"In","Out")</f>
        <v>Out</v>
      </c>
      <c r="K3" s="27" t="str">
        <f aca="false">IF(AND(I3="Y",E3&gt;=Assumptions!$B$6,E3&lt;=Assumptions!$B$5),"Y","N")</f>
        <v>N</v>
      </c>
      <c r="L3" s="27" t="n">
        <f aca="false">IFERROR(INDEX(Assumptions!$B$22:$B$39,MATCH(F3,Assumptions!$A$22:$A$39,0)),0)</f>
        <v>0</v>
      </c>
      <c r="M3" s="29" t="n">
        <f aca="false">IF(I3="Y",SUMIFS($E$2:$E$114,$C$2:$C$114,C3,$B$2:$B$114,B3,$I$2:$I$114,"Y",$J$2:$J$114,J3),0)</f>
        <v>0</v>
      </c>
      <c r="N3" s="27" t="str">
        <f aca="false">IF(M3&gt;Assumptions!$B$5,"CTR","")</f>
        <v/>
      </c>
      <c r="O3" s="27" t="str">
        <f aca="false">IFERROR(INDEX(Client_Master!$R$2:$R$41,MATCH(C3,Client_Master!$A$2:$A$41,0)),"No KYC record")</f>
        <v>Complete</v>
      </c>
    </row>
    <row r="4" customFormat="false" ht="15" hidden="false" customHeight="false" outlineLevel="0" collapsed="false">
      <c r="A4" s="27" t="s">
        <v>320</v>
      </c>
      <c r="B4" s="28" t="n">
        <v>46267</v>
      </c>
      <c r="C4" s="27" t="s">
        <v>239</v>
      </c>
      <c r="D4" s="27" t="s">
        <v>315</v>
      </c>
      <c r="E4" s="29" t="n">
        <v>48400</v>
      </c>
      <c r="F4" s="27" t="s">
        <v>163</v>
      </c>
      <c r="G4" s="27" t="s">
        <v>316</v>
      </c>
      <c r="H4" s="27" t="str">
        <f aca="false">IFERROR(INDEX(Client_Master!$B$2:$B$41,MATCH(C4,Client_Master!$A$2:$A$41,0)),"UNKNOWN CLIENT")</f>
        <v>Coral Reef Gaming Ltd</v>
      </c>
      <c r="I4" s="27" t="str">
        <f aca="false">IF(LEFT(D4,4)="Cash","Y","N")</f>
        <v>N</v>
      </c>
      <c r="J4" s="27" t="str">
        <f aca="false">IF(OR(D4="Cash Deposit",D4="Wire In"),"In","Out")</f>
        <v>In</v>
      </c>
      <c r="K4" s="27" t="str">
        <f aca="false">IF(AND(I4="Y",E4&gt;=Assumptions!$B$6,E4&lt;=Assumptions!$B$5),"Y","N")</f>
        <v>N</v>
      </c>
      <c r="L4" s="27" t="n">
        <f aca="false">IFERROR(INDEX(Assumptions!$B$22:$B$39,MATCH(F4,Assumptions!$A$22:$A$39,0)),0)</f>
        <v>0</v>
      </c>
      <c r="M4" s="29" t="n">
        <f aca="false">IF(I4="Y",SUMIFS($E$2:$E$114,$C$2:$C$114,C4,$B$2:$B$114,B4,$I$2:$I$114,"Y",$J$2:$J$114,J4),0)</f>
        <v>0</v>
      </c>
      <c r="N4" s="27" t="str">
        <f aca="false">IF(M4&gt;Assumptions!$B$5,"CTR","")</f>
        <v/>
      </c>
      <c r="O4" s="27" t="str">
        <f aca="false">IFERROR(INDEX(Client_Master!$R$2:$R$41,MATCH(C4,Client_Master!$A$2:$A$41,0)),"No KYC record")</f>
        <v>Complete</v>
      </c>
    </row>
    <row r="5" customFormat="false" ht="15" hidden="false" customHeight="false" outlineLevel="0" collapsed="false">
      <c r="A5" s="27" t="s">
        <v>321</v>
      </c>
      <c r="B5" s="28" t="n">
        <v>46267</v>
      </c>
      <c r="C5" s="27" t="s">
        <v>277</v>
      </c>
      <c r="D5" s="27" t="s">
        <v>318</v>
      </c>
      <c r="E5" s="29" t="n">
        <v>54100</v>
      </c>
      <c r="F5" s="27" t="s">
        <v>163</v>
      </c>
      <c r="G5" s="27" t="s">
        <v>319</v>
      </c>
      <c r="H5" s="27" t="str">
        <f aca="false">IFERROR(INDEX(Client_Master!$B$2:$B$41,MATCH(C5,Client_Master!$A$2:$A$41,0)),"UNKNOWN CLIENT")</f>
        <v>Delta Cloud Systems Pvt Ltd</v>
      </c>
      <c r="I5" s="27" t="str">
        <f aca="false">IF(LEFT(D5,4)="Cash","Y","N")</f>
        <v>N</v>
      </c>
      <c r="J5" s="27" t="str">
        <f aca="false">IF(OR(D5="Cash Deposit",D5="Wire In"),"In","Out")</f>
        <v>Out</v>
      </c>
      <c r="K5" s="27" t="str">
        <f aca="false">IF(AND(I5="Y",E5&gt;=Assumptions!$B$6,E5&lt;=Assumptions!$B$5),"Y","N")</f>
        <v>N</v>
      </c>
      <c r="L5" s="27" t="n">
        <f aca="false">IFERROR(INDEX(Assumptions!$B$22:$B$39,MATCH(F5,Assumptions!$A$22:$A$39,0)),0)</f>
        <v>0</v>
      </c>
      <c r="M5" s="29" t="n">
        <f aca="false">IF(I5="Y",SUMIFS($E$2:$E$114,$C$2:$C$114,C5,$B$2:$B$114,B5,$I$2:$I$114,"Y",$J$2:$J$114,J5),0)</f>
        <v>0</v>
      </c>
      <c r="N5" s="27" t="str">
        <f aca="false">IF(M5&gt;Assumptions!$B$5,"CTR","")</f>
        <v/>
      </c>
      <c r="O5" s="27" t="str">
        <f aca="false">IFERROR(INDEX(Client_Master!$R$2:$R$41,MATCH(C5,Client_Master!$A$2:$A$41,0)),"No KYC record")</f>
        <v>Complete</v>
      </c>
    </row>
    <row r="6" customFormat="false" ht="15" hidden="false" customHeight="false" outlineLevel="0" collapsed="false">
      <c r="A6" s="27" t="s">
        <v>322</v>
      </c>
      <c r="B6" s="28" t="n">
        <v>46267</v>
      </c>
      <c r="C6" s="27" t="s">
        <v>280</v>
      </c>
      <c r="D6" s="27" t="s">
        <v>315</v>
      </c>
      <c r="E6" s="29" t="n">
        <v>28500</v>
      </c>
      <c r="F6" s="27" t="s">
        <v>167</v>
      </c>
      <c r="G6" s="27" t="s">
        <v>316</v>
      </c>
      <c r="H6" s="27" t="str">
        <f aca="false">IFERROR(INDEX(Client_Master!$B$2:$B$41,MATCH(C6,Client_Master!$A$2:$A$41,0)),"UNKNOWN CLIENT")</f>
        <v>Anatolia Steel Works AS</v>
      </c>
      <c r="I6" s="27" t="str">
        <f aca="false">IF(LEFT(D6,4)="Cash","Y","N")</f>
        <v>N</v>
      </c>
      <c r="J6" s="27" t="str">
        <f aca="false">IF(OR(D6="Cash Deposit",D6="Wire In"),"In","Out")</f>
        <v>In</v>
      </c>
      <c r="K6" s="27" t="str">
        <f aca="false">IF(AND(I6="Y",E6&gt;=Assumptions!$B$6,E6&lt;=Assumptions!$B$5),"Y","N")</f>
        <v>N</v>
      </c>
      <c r="L6" s="27" t="n">
        <f aca="false">IFERROR(INDEX(Assumptions!$B$22:$B$39,MATCH(F6,Assumptions!$A$22:$A$39,0)),0)</f>
        <v>0</v>
      </c>
      <c r="M6" s="29" t="n">
        <f aca="false">IF(I6="Y",SUMIFS($E$2:$E$114,$C$2:$C$114,C6,$B$2:$B$114,B6,$I$2:$I$114,"Y",$J$2:$J$114,J6),0)</f>
        <v>0</v>
      </c>
      <c r="N6" s="27" t="str">
        <f aca="false">IF(M6&gt;Assumptions!$B$5,"CTR","")</f>
        <v/>
      </c>
      <c r="O6" s="27" t="str">
        <f aca="false">IFERROR(INDEX(Client_Master!$R$2:$R$41,MATCH(C6,Client_Master!$A$2:$A$41,0)),"No KYC record")</f>
        <v>Complete</v>
      </c>
    </row>
    <row r="7" customFormat="false" ht="15" hidden="false" customHeight="false" outlineLevel="0" collapsed="false">
      <c r="A7" s="27" t="s">
        <v>323</v>
      </c>
      <c r="B7" s="28" t="n">
        <v>46268</v>
      </c>
      <c r="C7" s="27" t="s">
        <v>245</v>
      </c>
      <c r="D7" s="27" t="s">
        <v>315</v>
      </c>
      <c r="E7" s="29" t="n">
        <v>43400</v>
      </c>
      <c r="F7" s="27" t="s">
        <v>158</v>
      </c>
      <c r="G7" s="27" t="s">
        <v>316</v>
      </c>
      <c r="H7" s="27" t="str">
        <f aca="false">IFERROR(INDEX(Client_Master!$B$2:$B$41,MATCH(C7,Client_Master!$A$2:$A$41,0)),"UNKNOWN CLIENT")</f>
        <v>Maple Leaf Health Clinics Inc</v>
      </c>
      <c r="I7" s="27" t="str">
        <f aca="false">IF(LEFT(D7,4)="Cash","Y","N")</f>
        <v>N</v>
      </c>
      <c r="J7" s="27" t="str">
        <f aca="false">IF(OR(D7="Cash Deposit",D7="Wire In"),"In","Out")</f>
        <v>In</v>
      </c>
      <c r="K7" s="27" t="str">
        <f aca="false">IF(AND(I7="Y",E7&gt;=Assumptions!$B$6,E7&lt;=Assumptions!$B$5),"Y","N")</f>
        <v>N</v>
      </c>
      <c r="L7" s="27" t="n">
        <f aca="false">IFERROR(INDEX(Assumptions!$B$22:$B$39,MATCH(F7,Assumptions!$A$22:$A$39,0)),0)</f>
        <v>0</v>
      </c>
      <c r="M7" s="29" t="n">
        <f aca="false">IF(I7="Y",SUMIFS($E$2:$E$114,$C$2:$C$114,C7,$B$2:$B$114,B7,$I$2:$I$114,"Y",$J$2:$J$114,J7),0)</f>
        <v>0</v>
      </c>
      <c r="N7" s="27" t="str">
        <f aca="false">IF(M7&gt;Assumptions!$B$5,"CTR","")</f>
        <v/>
      </c>
      <c r="O7" s="27" t="str">
        <f aca="false">IFERROR(INDEX(Client_Master!$R$2:$R$41,MATCH(C7,Client_Master!$A$2:$A$41,0)),"No KYC record")</f>
        <v>Complete</v>
      </c>
    </row>
    <row r="8" customFormat="false" ht="15" hidden="false" customHeight="false" outlineLevel="0" collapsed="false">
      <c r="A8" s="27" t="s">
        <v>324</v>
      </c>
      <c r="B8" s="28" t="n">
        <v>46268</v>
      </c>
      <c r="C8" s="27" t="s">
        <v>269</v>
      </c>
      <c r="D8" s="27" t="s">
        <v>318</v>
      </c>
      <c r="E8" s="29" t="n">
        <v>31900</v>
      </c>
      <c r="F8" s="27" t="s">
        <v>158</v>
      </c>
      <c r="G8" s="27" t="s">
        <v>319</v>
      </c>
      <c r="H8" s="27" t="str">
        <f aca="false">IFERROR(INDEX(Client_Master!$B$2:$B$41,MATCH(C8,Client_Master!$A$2:$A$41,0)),"UNKNOWN CLIENT")</f>
        <v>Palm Bay Casino Resorts</v>
      </c>
      <c r="I8" s="27" t="str">
        <f aca="false">IF(LEFT(D8,4)="Cash","Y","N")</f>
        <v>N</v>
      </c>
      <c r="J8" s="27" t="str">
        <f aca="false">IF(OR(D8="Cash Deposit",D8="Wire In"),"In","Out")</f>
        <v>Out</v>
      </c>
      <c r="K8" s="27" t="str">
        <f aca="false">IF(AND(I8="Y",E8&gt;=Assumptions!$B$6,E8&lt;=Assumptions!$B$5),"Y","N")</f>
        <v>N</v>
      </c>
      <c r="L8" s="27" t="n">
        <f aca="false">IFERROR(INDEX(Assumptions!$B$22:$B$39,MATCH(F8,Assumptions!$A$22:$A$39,0)),0)</f>
        <v>0</v>
      </c>
      <c r="M8" s="29" t="n">
        <f aca="false">IF(I8="Y",SUMIFS($E$2:$E$114,$C$2:$C$114,C8,$B$2:$B$114,B8,$I$2:$I$114,"Y",$J$2:$J$114,J8),0)</f>
        <v>0</v>
      </c>
      <c r="N8" s="27" t="str">
        <f aca="false">IF(M8&gt;Assumptions!$B$5,"CTR","")</f>
        <v/>
      </c>
      <c r="O8" s="27" t="str">
        <f aca="false">IFERROR(INDEX(Client_Master!$R$2:$R$41,MATCH(C8,Client_Master!$A$2:$A$41,0)),"No KYC record")</f>
        <v>Complete</v>
      </c>
    </row>
    <row r="9" customFormat="false" ht="15" hidden="false" customHeight="false" outlineLevel="0" collapsed="false">
      <c r="A9" s="27" t="s">
        <v>325</v>
      </c>
      <c r="B9" s="28" t="n">
        <v>46268</v>
      </c>
      <c r="C9" s="27" t="s">
        <v>282</v>
      </c>
      <c r="D9" s="27" t="s">
        <v>318</v>
      </c>
      <c r="E9" s="29" t="n">
        <v>34000</v>
      </c>
      <c r="F9" s="27" t="s">
        <v>169</v>
      </c>
      <c r="G9" s="27" t="s">
        <v>319</v>
      </c>
      <c r="H9" s="27" t="str">
        <f aca="false">IFERROR(INDEX(Client_Master!$B$2:$B$41,MATCH(C9,Client_Master!$A$2:$A$41,0)),"UNKNOWN CLIENT")</f>
        <v>Lakeview Medical Supplies Inc</v>
      </c>
      <c r="I9" s="27" t="str">
        <f aca="false">IF(LEFT(D9,4)="Cash","Y","N")</f>
        <v>N</v>
      </c>
      <c r="J9" s="27" t="str">
        <f aca="false">IF(OR(D9="Cash Deposit",D9="Wire In"),"In","Out")</f>
        <v>Out</v>
      </c>
      <c r="K9" s="27" t="str">
        <f aca="false">IF(AND(I9="Y",E9&gt;=Assumptions!$B$6,E9&lt;=Assumptions!$B$5),"Y","N")</f>
        <v>N</v>
      </c>
      <c r="L9" s="27" t="n">
        <f aca="false">IFERROR(INDEX(Assumptions!$B$22:$B$39,MATCH(F9,Assumptions!$A$22:$A$39,0)),0)</f>
        <v>1</v>
      </c>
      <c r="M9" s="29" t="n">
        <f aca="false">IF(I9="Y",SUMIFS($E$2:$E$114,$C$2:$C$114,C9,$B$2:$B$114,B9,$I$2:$I$114,"Y",$J$2:$J$114,J9),0)</f>
        <v>0</v>
      </c>
      <c r="N9" s="27" t="str">
        <f aca="false">IF(M9&gt;Assumptions!$B$5,"CTR","")</f>
        <v/>
      </c>
      <c r="O9" s="27" t="str">
        <f aca="false">IFERROR(INDEX(Client_Master!$R$2:$R$41,MATCH(C9,Client_Master!$A$2:$A$41,0)),"No KYC record")</f>
        <v>Incomplete - Docs</v>
      </c>
    </row>
    <row r="10" customFormat="false" ht="15" hidden="false" customHeight="false" outlineLevel="0" collapsed="false">
      <c r="A10" s="27" t="s">
        <v>326</v>
      </c>
      <c r="B10" s="28" t="n">
        <v>46269</v>
      </c>
      <c r="C10" s="27" t="s">
        <v>216</v>
      </c>
      <c r="D10" s="27" t="s">
        <v>315</v>
      </c>
      <c r="E10" s="29" t="n">
        <v>66000</v>
      </c>
      <c r="F10" s="27" t="s">
        <v>165</v>
      </c>
      <c r="G10" s="27" t="s">
        <v>316</v>
      </c>
      <c r="H10" s="27" t="str">
        <f aca="false">IFERROR(INDEX(Client_Master!$B$2:$B$41,MATCH(C10,Client_Master!$A$2:$A$41,0)),"UNKNOWN CLIENT")</f>
        <v>Aurora Software Solutions Pvt Ltd</v>
      </c>
      <c r="I10" s="27" t="str">
        <f aca="false">IF(LEFT(D10,4)="Cash","Y","N")</f>
        <v>N</v>
      </c>
      <c r="J10" s="27" t="str">
        <f aca="false">IF(OR(D10="Cash Deposit",D10="Wire In"),"In","Out")</f>
        <v>In</v>
      </c>
      <c r="K10" s="27" t="str">
        <f aca="false">IF(AND(I10="Y",E10&gt;=Assumptions!$B$6,E10&lt;=Assumptions!$B$5),"Y","N")</f>
        <v>N</v>
      </c>
      <c r="L10" s="27" t="n">
        <f aca="false">IFERROR(INDEX(Assumptions!$B$22:$B$39,MATCH(F10,Assumptions!$A$22:$A$39,0)),0)</f>
        <v>0</v>
      </c>
      <c r="M10" s="29" t="n">
        <f aca="false">IF(I10="Y",SUMIFS($E$2:$E$114,$C$2:$C$114,C10,$B$2:$B$114,B10,$I$2:$I$114,"Y",$J$2:$J$114,J10),0)</f>
        <v>0</v>
      </c>
      <c r="N10" s="27" t="str">
        <f aca="false">IF(M10&gt;Assumptions!$B$5,"CTR","")</f>
        <v/>
      </c>
      <c r="O10" s="27" t="str">
        <f aca="false">IFERROR(INDEX(Client_Master!$R$2:$R$41,MATCH(C10,Client_Master!$A$2:$A$41,0)),"No KYC record")</f>
        <v>Complete</v>
      </c>
    </row>
    <row r="11" customFormat="false" ht="15" hidden="false" customHeight="false" outlineLevel="0" collapsed="false">
      <c r="A11" s="27" t="s">
        <v>327</v>
      </c>
      <c r="B11" s="28" t="n">
        <v>46269</v>
      </c>
      <c r="C11" s="27" t="s">
        <v>269</v>
      </c>
      <c r="D11" s="27" t="s">
        <v>318</v>
      </c>
      <c r="E11" s="29" t="n">
        <v>79700</v>
      </c>
      <c r="F11" s="27" t="s">
        <v>161</v>
      </c>
      <c r="G11" s="27" t="s">
        <v>319</v>
      </c>
      <c r="H11" s="27" t="str">
        <f aca="false">IFERROR(INDEX(Client_Master!$B$2:$B$41,MATCH(C11,Client_Master!$A$2:$A$41,0)),"UNKNOWN CLIENT")</f>
        <v>Palm Bay Casino Resorts</v>
      </c>
      <c r="I11" s="27" t="str">
        <f aca="false">IF(LEFT(D11,4)="Cash","Y","N")</f>
        <v>N</v>
      </c>
      <c r="J11" s="27" t="str">
        <f aca="false">IF(OR(D11="Cash Deposit",D11="Wire In"),"In","Out")</f>
        <v>Out</v>
      </c>
      <c r="K11" s="27" t="str">
        <f aca="false">IF(AND(I11="Y",E11&gt;=Assumptions!$B$6,E11&lt;=Assumptions!$B$5),"Y","N")</f>
        <v>N</v>
      </c>
      <c r="L11" s="27" t="n">
        <f aca="false">IFERROR(INDEX(Assumptions!$B$22:$B$39,MATCH(F11,Assumptions!$A$22:$A$39,0)),0)</f>
        <v>0</v>
      </c>
      <c r="M11" s="29" t="n">
        <f aca="false">IF(I11="Y",SUMIFS($E$2:$E$114,$C$2:$C$114,C11,$B$2:$B$114,B11,$I$2:$I$114,"Y",$J$2:$J$114,J11),0)</f>
        <v>0</v>
      </c>
      <c r="N11" s="27" t="str">
        <f aca="false">IF(M11&gt;Assumptions!$B$5,"CTR","")</f>
        <v/>
      </c>
      <c r="O11" s="27" t="str">
        <f aca="false">IFERROR(INDEX(Client_Master!$R$2:$R$41,MATCH(C11,Client_Master!$A$2:$A$41,0)),"No KYC record")</f>
        <v>Complete</v>
      </c>
    </row>
    <row r="12" customFormat="false" ht="15" hidden="false" customHeight="false" outlineLevel="0" collapsed="false">
      <c r="A12" s="27" t="s">
        <v>328</v>
      </c>
      <c r="B12" s="28" t="n">
        <v>46272</v>
      </c>
      <c r="C12" s="27" t="s">
        <v>229</v>
      </c>
      <c r="D12" s="27" t="s">
        <v>318</v>
      </c>
      <c r="E12" s="29" t="n">
        <v>81800</v>
      </c>
      <c r="F12" s="27" t="s">
        <v>163</v>
      </c>
      <c r="G12" s="27" t="s">
        <v>319</v>
      </c>
      <c r="H12" s="27" t="str">
        <f aca="false">IFERROR(INDEX(Client_Master!$B$2:$B$41,MATCH(C12,Client_Master!$A$2:$A$41,0)),"UNKNOWN CLIENT")</f>
        <v>Meridian Textile Exports Pvt Ltd</v>
      </c>
      <c r="I12" s="27" t="str">
        <f aca="false">IF(LEFT(D12,4)="Cash","Y","N")</f>
        <v>N</v>
      </c>
      <c r="J12" s="27" t="str">
        <f aca="false">IF(OR(D12="Cash Deposit",D12="Wire In"),"In","Out")</f>
        <v>Out</v>
      </c>
      <c r="K12" s="27" t="str">
        <f aca="false">IF(AND(I12="Y",E12&gt;=Assumptions!$B$6,E12&lt;=Assumptions!$B$5),"Y","N")</f>
        <v>N</v>
      </c>
      <c r="L12" s="27" t="n">
        <f aca="false">IFERROR(INDEX(Assumptions!$B$22:$B$39,MATCH(F12,Assumptions!$A$22:$A$39,0)),0)</f>
        <v>0</v>
      </c>
      <c r="M12" s="29" t="n">
        <f aca="false">IF(I12="Y",SUMIFS($E$2:$E$114,$C$2:$C$114,C12,$B$2:$B$114,B12,$I$2:$I$114,"Y",$J$2:$J$114,J12),0)</f>
        <v>0</v>
      </c>
      <c r="N12" s="27" t="str">
        <f aca="false">IF(M12&gt;Assumptions!$B$5,"CTR","")</f>
        <v/>
      </c>
      <c r="O12" s="27" t="str">
        <f aca="false">IFERROR(INDEX(Client_Master!$R$2:$R$41,MATCH(C12,Client_Master!$A$2:$A$41,0)),"No KYC record")</f>
        <v>Complete</v>
      </c>
    </row>
    <row r="13" customFormat="false" ht="15" hidden="false" customHeight="false" outlineLevel="0" collapsed="false">
      <c r="A13" s="27" t="s">
        <v>329</v>
      </c>
      <c r="B13" s="28" t="n">
        <v>46272</v>
      </c>
      <c r="C13" s="27" t="s">
        <v>239</v>
      </c>
      <c r="D13" s="27" t="s">
        <v>315</v>
      </c>
      <c r="E13" s="29" t="n">
        <v>75900</v>
      </c>
      <c r="F13" s="27" t="s">
        <v>163</v>
      </c>
      <c r="G13" s="27" t="s">
        <v>316</v>
      </c>
      <c r="H13" s="27" t="str">
        <f aca="false">IFERROR(INDEX(Client_Master!$B$2:$B$41,MATCH(C13,Client_Master!$A$2:$A$41,0)),"UNKNOWN CLIENT")</f>
        <v>Coral Reef Gaming Ltd</v>
      </c>
      <c r="I13" s="27" t="str">
        <f aca="false">IF(LEFT(D13,4)="Cash","Y","N")</f>
        <v>N</v>
      </c>
      <c r="J13" s="27" t="str">
        <f aca="false">IF(OR(D13="Cash Deposit",D13="Wire In"),"In","Out")</f>
        <v>In</v>
      </c>
      <c r="K13" s="27" t="str">
        <f aca="false">IF(AND(I13="Y",E13&gt;=Assumptions!$B$6,E13&lt;=Assumptions!$B$5),"Y","N")</f>
        <v>N</v>
      </c>
      <c r="L13" s="27" t="n">
        <f aca="false">IFERROR(INDEX(Assumptions!$B$22:$B$39,MATCH(F13,Assumptions!$A$22:$A$39,0)),0)</f>
        <v>0</v>
      </c>
      <c r="M13" s="29" t="n">
        <f aca="false">IF(I13="Y",SUMIFS($E$2:$E$114,$C$2:$C$114,C13,$B$2:$B$114,B13,$I$2:$I$114,"Y",$J$2:$J$114,J13),0)</f>
        <v>0</v>
      </c>
      <c r="N13" s="27" t="str">
        <f aca="false">IF(M13&gt;Assumptions!$B$5,"CTR","")</f>
        <v/>
      </c>
      <c r="O13" s="27" t="str">
        <f aca="false">IFERROR(INDEX(Client_Master!$R$2:$R$41,MATCH(C13,Client_Master!$A$2:$A$41,0)),"No KYC record")</f>
        <v>Complete</v>
      </c>
    </row>
    <row r="14" customFormat="false" ht="15" hidden="false" customHeight="false" outlineLevel="0" collapsed="false">
      <c r="A14" s="27" t="s">
        <v>330</v>
      </c>
      <c r="B14" s="28" t="n">
        <v>46273</v>
      </c>
      <c r="C14" s="27" t="s">
        <v>253</v>
      </c>
      <c r="D14" s="27" t="s">
        <v>318</v>
      </c>
      <c r="E14" s="29" t="n">
        <v>59900</v>
      </c>
      <c r="F14" s="27" t="s">
        <v>165</v>
      </c>
      <c r="G14" s="27" t="s">
        <v>319</v>
      </c>
      <c r="H14" s="27" t="str">
        <f aca="false">IFERROR(INDEX(Client_Master!$B$2:$B$41,MATCH(C14,Client_Master!$A$2:$A$41,0)),"UNKNOWN CLIENT")</f>
        <v>Orion Freight Forwarders Pvt Ltd</v>
      </c>
      <c r="I14" s="27" t="str">
        <f aca="false">IF(LEFT(D14,4)="Cash","Y","N")</f>
        <v>N</v>
      </c>
      <c r="J14" s="27" t="str">
        <f aca="false">IF(OR(D14="Cash Deposit",D14="Wire In"),"In","Out")</f>
        <v>Out</v>
      </c>
      <c r="K14" s="27" t="str">
        <f aca="false">IF(AND(I14="Y",E14&gt;=Assumptions!$B$6,E14&lt;=Assumptions!$B$5),"Y","N")</f>
        <v>N</v>
      </c>
      <c r="L14" s="27" t="n">
        <f aca="false">IFERROR(INDEX(Assumptions!$B$22:$B$39,MATCH(F14,Assumptions!$A$22:$A$39,0)),0)</f>
        <v>0</v>
      </c>
      <c r="M14" s="29" t="n">
        <f aca="false">IF(I14="Y",SUMIFS($E$2:$E$114,$C$2:$C$114,C14,$B$2:$B$114,B14,$I$2:$I$114,"Y",$J$2:$J$114,J14),0)</f>
        <v>0</v>
      </c>
      <c r="N14" s="27" t="str">
        <f aca="false">IF(M14&gt;Assumptions!$B$5,"CTR","")</f>
        <v/>
      </c>
      <c r="O14" s="27" t="str">
        <f aca="false">IFERROR(INDEX(Client_Master!$R$2:$R$41,MATCH(C14,Client_Master!$A$2:$A$41,0)),"No KYC record")</f>
        <v>Complete</v>
      </c>
    </row>
    <row r="15" customFormat="false" ht="15" hidden="false" customHeight="false" outlineLevel="0" collapsed="false">
      <c r="A15" s="27" t="s">
        <v>331</v>
      </c>
      <c r="B15" s="28" t="n">
        <v>46273</v>
      </c>
      <c r="C15" s="27" t="s">
        <v>255</v>
      </c>
      <c r="D15" s="27" t="s">
        <v>332</v>
      </c>
      <c r="E15" s="29" t="n">
        <v>3100</v>
      </c>
      <c r="F15" s="27" t="s">
        <v>148</v>
      </c>
      <c r="G15" s="27" t="s">
        <v>333</v>
      </c>
      <c r="H15" s="27" t="str">
        <f aca="false">IFERROR(INDEX(Client_Master!$B$2:$B$41,MATCH(C15,Client_Master!$A$2:$A$41,0)),"UNKNOWN CLIENT")</f>
        <v>Metro Fuel &amp; Convenience Stores Inc</v>
      </c>
      <c r="I15" s="27" t="str">
        <f aca="false">IF(LEFT(D15,4)="Cash","Y","N")</f>
        <v>Y</v>
      </c>
      <c r="J15" s="27" t="str">
        <f aca="false">IF(OR(D15="Cash Deposit",D15="Wire In"),"In","Out")</f>
        <v>In</v>
      </c>
      <c r="K15" s="27" t="str">
        <f aca="false">IF(AND(I15="Y",E15&gt;=Assumptions!$B$6,E15&lt;=Assumptions!$B$5),"Y","N")</f>
        <v>N</v>
      </c>
      <c r="L15" s="27" t="n">
        <f aca="false">IFERROR(INDEX(Assumptions!$B$22:$B$39,MATCH(F15,Assumptions!$A$22:$A$39,0)),0)</f>
        <v>0</v>
      </c>
      <c r="M15" s="29" t="n">
        <f aca="false">IF(I15="Y",SUMIFS($E$2:$E$114,$C$2:$C$114,C15,$B$2:$B$114,B15,$I$2:$I$114,"Y",$J$2:$J$114,J15),0)</f>
        <v>3100</v>
      </c>
      <c r="N15" s="27" t="str">
        <f aca="false">IF(M15&gt;Assumptions!$B$5,"CTR","")</f>
        <v/>
      </c>
      <c r="O15" s="27" t="str">
        <f aca="false">IFERROR(INDEX(Client_Master!$R$2:$R$41,MATCH(C15,Client_Master!$A$2:$A$41,0)),"No KYC record")</f>
        <v>Complete</v>
      </c>
    </row>
    <row r="16" customFormat="false" ht="15" hidden="false" customHeight="false" outlineLevel="0" collapsed="false">
      <c r="A16" s="27" t="s">
        <v>334</v>
      </c>
      <c r="B16" s="28" t="n">
        <v>46274</v>
      </c>
      <c r="C16" s="27" t="s">
        <v>229</v>
      </c>
      <c r="D16" s="27" t="s">
        <v>315</v>
      </c>
      <c r="E16" s="29" t="n">
        <v>68500</v>
      </c>
      <c r="F16" s="27" t="s">
        <v>165</v>
      </c>
      <c r="G16" s="27" t="s">
        <v>316</v>
      </c>
      <c r="H16" s="27" t="str">
        <f aca="false">IFERROR(INDEX(Client_Master!$B$2:$B$41,MATCH(C16,Client_Master!$A$2:$A$41,0)),"UNKNOWN CLIENT")</f>
        <v>Meridian Textile Exports Pvt Ltd</v>
      </c>
      <c r="I16" s="27" t="str">
        <f aca="false">IF(LEFT(D16,4)="Cash","Y","N")</f>
        <v>N</v>
      </c>
      <c r="J16" s="27" t="str">
        <f aca="false">IF(OR(D16="Cash Deposit",D16="Wire In"),"In","Out")</f>
        <v>In</v>
      </c>
      <c r="K16" s="27" t="str">
        <f aca="false">IF(AND(I16="Y",E16&gt;=Assumptions!$B$6,E16&lt;=Assumptions!$B$5),"Y","N")</f>
        <v>N</v>
      </c>
      <c r="L16" s="27" t="n">
        <f aca="false">IFERROR(INDEX(Assumptions!$B$22:$B$39,MATCH(F16,Assumptions!$A$22:$A$39,0)),0)</f>
        <v>0</v>
      </c>
      <c r="M16" s="29" t="n">
        <f aca="false">IF(I16="Y",SUMIFS($E$2:$E$114,$C$2:$C$114,C16,$B$2:$B$114,B16,$I$2:$I$114,"Y",$J$2:$J$114,J16),0)</f>
        <v>0</v>
      </c>
      <c r="N16" s="27" t="str">
        <f aca="false">IF(M16&gt;Assumptions!$B$5,"CTR","")</f>
        <v/>
      </c>
      <c r="O16" s="27" t="str">
        <f aca="false">IFERROR(INDEX(Client_Master!$R$2:$R$41,MATCH(C16,Client_Master!$A$2:$A$41,0)),"No KYC record")</f>
        <v>Complete</v>
      </c>
    </row>
    <row r="17" customFormat="false" ht="15" hidden="false" customHeight="false" outlineLevel="0" collapsed="false">
      <c r="A17" s="27" t="s">
        <v>335</v>
      </c>
      <c r="B17" s="28" t="n">
        <v>46274</v>
      </c>
      <c r="C17" s="27" t="s">
        <v>241</v>
      </c>
      <c r="D17" s="27" t="s">
        <v>332</v>
      </c>
      <c r="E17" s="29" t="n">
        <v>2800</v>
      </c>
      <c r="F17" s="27" t="s">
        <v>148</v>
      </c>
      <c r="G17" s="27" t="s">
        <v>336</v>
      </c>
      <c r="H17" s="27" t="str">
        <f aca="false">IFERROR(INDEX(Client_Master!$B$2:$B$41,MATCH(C17,Client_Master!$A$2:$A$41,0)),"UNKNOWN CLIENT")</f>
        <v>Brightline Retail Holdings Inc</v>
      </c>
      <c r="I17" s="27" t="str">
        <f aca="false">IF(LEFT(D17,4)="Cash","Y","N")</f>
        <v>Y</v>
      </c>
      <c r="J17" s="27" t="str">
        <f aca="false">IF(OR(D17="Cash Deposit",D17="Wire In"),"In","Out")</f>
        <v>In</v>
      </c>
      <c r="K17" s="27" t="str">
        <f aca="false">IF(AND(I17="Y",E17&gt;=Assumptions!$B$6,E17&lt;=Assumptions!$B$5),"Y","N")</f>
        <v>N</v>
      </c>
      <c r="L17" s="27" t="n">
        <f aca="false">IFERROR(INDEX(Assumptions!$B$22:$B$39,MATCH(F17,Assumptions!$A$22:$A$39,0)),0)</f>
        <v>0</v>
      </c>
      <c r="M17" s="29" t="n">
        <f aca="false">IF(I17="Y",SUMIFS($E$2:$E$114,$C$2:$C$114,C17,$B$2:$B$114,B17,$I$2:$I$114,"Y",$J$2:$J$114,J17),0)</f>
        <v>2800</v>
      </c>
      <c r="N17" s="27" t="str">
        <f aca="false">IF(M17&gt;Assumptions!$B$5,"CTR","")</f>
        <v/>
      </c>
      <c r="O17" s="27" t="str">
        <f aca="false">IFERROR(INDEX(Client_Master!$R$2:$R$41,MATCH(C17,Client_Master!$A$2:$A$41,0)),"No KYC record")</f>
        <v>Complete</v>
      </c>
    </row>
    <row r="18" customFormat="false" ht="15" hidden="false" customHeight="false" outlineLevel="0" collapsed="false">
      <c r="A18" s="27" t="s">
        <v>337</v>
      </c>
      <c r="B18" s="28" t="n">
        <v>46274</v>
      </c>
      <c r="C18" s="27" t="s">
        <v>259</v>
      </c>
      <c r="D18" s="27" t="s">
        <v>318</v>
      </c>
      <c r="E18" s="29" t="n">
        <v>19600</v>
      </c>
      <c r="F18" s="27" t="s">
        <v>148</v>
      </c>
      <c r="G18" s="27" t="s">
        <v>319</v>
      </c>
      <c r="H18" s="27" t="str">
        <f aca="false">IFERROR(INDEX(Client_Master!$B$2:$B$41,MATCH(C18,Client_Master!$A$2:$A$41,0)),"UNKNOWN CLIENT")</f>
        <v>Kestrel Engineering Services Pte Ltd</v>
      </c>
      <c r="I18" s="27" t="str">
        <f aca="false">IF(LEFT(D18,4)="Cash","Y","N")</f>
        <v>N</v>
      </c>
      <c r="J18" s="27" t="str">
        <f aca="false">IF(OR(D18="Cash Deposit",D18="Wire In"),"In","Out")</f>
        <v>Out</v>
      </c>
      <c r="K18" s="27" t="str">
        <f aca="false">IF(AND(I18="Y",E18&gt;=Assumptions!$B$6,E18&lt;=Assumptions!$B$5),"Y","N")</f>
        <v>N</v>
      </c>
      <c r="L18" s="27" t="n">
        <f aca="false">IFERROR(INDEX(Assumptions!$B$22:$B$39,MATCH(F18,Assumptions!$A$22:$A$39,0)),0)</f>
        <v>0</v>
      </c>
      <c r="M18" s="29" t="n">
        <f aca="false">IF(I18="Y",SUMIFS($E$2:$E$114,$C$2:$C$114,C18,$B$2:$B$114,B18,$I$2:$I$114,"Y",$J$2:$J$114,J18),0)</f>
        <v>0</v>
      </c>
      <c r="N18" s="27" t="str">
        <f aca="false">IF(M18&gt;Assumptions!$B$5,"CTR","")</f>
        <v/>
      </c>
      <c r="O18" s="27" t="str">
        <f aca="false">IFERROR(INDEX(Client_Master!$R$2:$R$41,MATCH(C18,Client_Master!$A$2:$A$41,0)),"No KYC record")</f>
        <v>Complete</v>
      </c>
    </row>
    <row r="19" customFormat="false" ht="15" hidden="false" customHeight="false" outlineLevel="0" collapsed="false">
      <c r="A19" s="27" t="s">
        <v>338</v>
      </c>
      <c r="B19" s="28" t="n">
        <v>46275</v>
      </c>
      <c r="C19" s="27" t="s">
        <v>233</v>
      </c>
      <c r="D19" s="27" t="s">
        <v>332</v>
      </c>
      <c r="E19" s="29" t="n">
        <v>30000</v>
      </c>
      <c r="F19" s="27" t="s">
        <v>172</v>
      </c>
      <c r="G19" s="27" t="s">
        <v>339</v>
      </c>
      <c r="H19" s="27" t="str">
        <f aca="false">IFERROR(INDEX(Client_Master!$B$2:$B$41,MATCH(C19,Client_Master!$A$2:$A$41,0)),"UNKNOWN CLIENT")</f>
        <v>Golden Crest Jewellers LLC</v>
      </c>
      <c r="I19" s="27" t="str">
        <f aca="false">IF(LEFT(D19,4)="Cash","Y","N")</f>
        <v>Y</v>
      </c>
      <c r="J19" s="27" t="str">
        <f aca="false">IF(OR(D19="Cash Deposit",D19="Wire In"),"In","Out")</f>
        <v>In</v>
      </c>
      <c r="K19" s="27" t="str">
        <f aca="false">IF(AND(I19="Y",E19&gt;=Assumptions!$B$6,E19&lt;=Assumptions!$B$5),"Y","N")</f>
        <v>N</v>
      </c>
      <c r="L19" s="27" t="n">
        <f aca="false">IFERROR(INDEX(Assumptions!$B$22:$B$39,MATCH(F19,Assumptions!$A$22:$A$39,0)),0)</f>
        <v>1</v>
      </c>
      <c r="M19" s="29" t="n">
        <f aca="false">IF(I19="Y",SUMIFS($E$2:$E$114,$C$2:$C$114,C19,$B$2:$B$114,B19,$I$2:$I$114,"Y",$J$2:$J$114,J19),0)</f>
        <v>30000</v>
      </c>
      <c r="N19" s="27" t="str">
        <f aca="false">IF(M19&gt;Assumptions!$B$5,"CTR","")</f>
        <v>CTR</v>
      </c>
      <c r="O19" s="27" t="str">
        <f aca="false">IFERROR(INDEX(Client_Master!$R$2:$R$41,MATCH(C19,Client_Master!$A$2:$A$41,0)),"No KYC record")</f>
        <v>Complete</v>
      </c>
    </row>
    <row r="20" customFormat="false" ht="15" hidden="false" customHeight="false" outlineLevel="0" collapsed="false">
      <c r="A20" s="27" t="s">
        <v>340</v>
      </c>
      <c r="B20" s="28" t="n">
        <v>46275</v>
      </c>
      <c r="C20" s="27" t="s">
        <v>235</v>
      </c>
      <c r="D20" s="27" t="s">
        <v>315</v>
      </c>
      <c r="E20" s="29" t="n">
        <v>68900</v>
      </c>
      <c r="F20" s="27" t="s">
        <v>161</v>
      </c>
      <c r="G20" s="27" t="s">
        <v>316</v>
      </c>
      <c r="H20" s="27" t="str">
        <f aca="false">IFERROR(INDEX(Client_Master!$B$2:$B$41,MATCH(C20,Client_Master!$A$2:$A$41,0)),"UNKNOWN CLIENT")</f>
        <v>Pinnacle Realty Developers Ltd</v>
      </c>
      <c r="I20" s="27" t="str">
        <f aca="false">IF(LEFT(D20,4)="Cash","Y","N")</f>
        <v>N</v>
      </c>
      <c r="J20" s="27" t="str">
        <f aca="false">IF(OR(D20="Cash Deposit",D20="Wire In"),"In","Out")</f>
        <v>In</v>
      </c>
      <c r="K20" s="27" t="str">
        <f aca="false">IF(AND(I20="Y",E20&gt;=Assumptions!$B$6,E20&lt;=Assumptions!$B$5),"Y","N")</f>
        <v>N</v>
      </c>
      <c r="L20" s="27" t="n">
        <f aca="false">IFERROR(INDEX(Assumptions!$B$22:$B$39,MATCH(F20,Assumptions!$A$22:$A$39,0)),0)</f>
        <v>0</v>
      </c>
      <c r="M20" s="29" t="n">
        <f aca="false">IF(I20="Y",SUMIFS($E$2:$E$114,$C$2:$C$114,C20,$B$2:$B$114,B20,$I$2:$I$114,"Y",$J$2:$J$114,J20),0)</f>
        <v>0</v>
      </c>
      <c r="N20" s="27" t="str">
        <f aca="false">IF(M20&gt;Assumptions!$B$5,"CTR","")</f>
        <v/>
      </c>
      <c r="O20" s="27" t="str">
        <f aca="false">IFERROR(INDEX(Client_Master!$R$2:$R$41,MATCH(C20,Client_Master!$A$2:$A$41,0)),"No KYC record")</f>
        <v>Complete</v>
      </c>
    </row>
    <row r="21" customFormat="false" ht="15" hidden="false" customHeight="false" outlineLevel="0" collapsed="false">
      <c r="A21" s="27" t="s">
        <v>341</v>
      </c>
      <c r="B21" s="28" t="n">
        <v>46275</v>
      </c>
      <c r="C21" s="27" t="s">
        <v>273</v>
      </c>
      <c r="D21" s="27" t="s">
        <v>315</v>
      </c>
      <c r="E21" s="29" t="n">
        <v>57600</v>
      </c>
      <c r="F21" s="27" t="s">
        <v>152</v>
      </c>
      <c r="G21" s="27" t="s">
        <v>316</v>
      </c>
      <c r="H21" s="27" t="str">
        <f aca="false">IFERROR(INDEX(Client_Master!$B$2:$B$41,MATCH(C21,Client_Master!$A$2:$A$41,0)),"UNKNOWN CLIENT")</f>
        <v>Zurich Wealth Advisory AG</v>
      </c>
      <c r="I21" s="27" t="str">
        <f aca="false">IF(LEFT(D21,4)="Cash","Y","N")</f>
        <v>N</v>
      </c>
      <c r="J21" s="27" t="str">
        <f aca="false">IF(OR(D21="Cash Deposit",D21="Wire In"),"In","Out")</f>
        <v>In</v>
      </c>
      <c r="K21" s="27" t="str">
        <f aca="false">IF(AND(I21="Y",E21&gt;=Assumptions!$B$6,E21&lt;=Assumptions!$B$5),"Y","N")</f>
        <v>N</v>
      </c>
      <c r="L21" s="27" t="n">
        <f aca="false">IFERROR(INDEX(Assumptions!$B$22:$B$39,MATCH(F21,Assumptions!$A$22:$A$39,0)),0)</f>
        <v>0</v>
      </c>
      <c r="M21" s="29" t="n">
        <f aca="false">IF(I21="Y",SUMIFS($E$2:$E$114,$C$2:$C$114,C21,$B$2:$B$114,B21,$I$2:$I$114,"Y",$J$2:$J$114,J21),0)</f>
        <v>0</v>
      </c>
      <c r="N21" s="27" t="str">
        <f aca="false">IF(M21&gt;Assumptions!$B$5,"CTR","")</f>
        <v/>
      </c>
      <c r="O21" s="27" t="str">
        <f aca="false">IFERROR(INDEX(Client_Master!$R$2:$R$41,MATCH(C21,Client_Master!$A$2:$A$41,0)),"No KYC record")</f>
        <v>Complete</v>
      </c>
    </row>
    <row r="22" customFormat="false" ht="15" hidden="false" customHeight="false" outlineLevel="0" collapsed="false">
      <c r="A22" s="27" t="s">
        <v>342</v>
      </c>
      <c r="B22" s="28" t="n">
        <v>46276</v>
      </c>
      <c r="C22" s="27" t="s">
        <v>237</v>
      </c>
      <c r="D22" s="27" t="s">
        <v>315</v>
      </c>
      <c r="E22" s="29" t="n">
        <v>45200</v>
      </c>
      <c r="F22" s="27" t="s">
        <v>155</v>
      </c>
      <c r="G22" s="27" t="s">
        <v>316</v>
      </c>
      <c r="H22" s="27" t="str">
        <f aca="false">IFERROR(INDEX(Client_Master!$B$2:$B$41,MATCH(C22,Client_Master!$A$2:$A$41,0)),"UNKNOWN CLIENT")</f>
        <v>Harbour Point Trading Co</v>
      </c>
      <c r="I22" s="27" t="str">
        <f aca="false">IF(LEFT(D22,4)="Cash","Y","N")</f>
        <v>N</v>
      </c>
      <c r="J22" s="27" t="str">
        <f aca="false">IF(OR(D22="Cash Deposit",D22="Wire In"),"In","Out")</f>
        <v>In</v>
      </c>
      <c r="K22" s="27" t="str">
        <f aca="false">IF(AND(I22="Y",E22&gt;=Assumptions!$B$6,E22&lt;=Assumptions!$B$5),"Y","N")</f>
        <v>N</v>
      </c>
      <c r="L22" s="27" t="n">
        <f aca="false">IFERROR(INDEX(Assumptions!$B$22:$B$39,MATCH(F22,Assumptions!$A$22:$A$39,0)),0)</f>
        <v>0</v>
      </c>
      <c r="M22" s="29" t="n">
        <f aca="false">IF(I22="Y",SUMIFS($E$2:$E$114,$C$2:$C$114,C22,$B$2:$B$114,B22,$I$2:$I$114,"Y",$J$2:$J$114,J22),0)</f>
        <v>0</v>
      </c>
      <c r="N22" s="27" t="str">
        <f aca="false">IF(M22&gt;Assumptions!$B$5,"CTR","")</f>
        <v/>
      </c>
      <c r="O22" s="27" t="str">
        <f aca="false">IFERROR(INDEX(Client_Master!$R$2:$R$41,MATCH(C22,Client_Master!$A$2:$A$41,0)),"No KYC record")</f>
        <v>Complete</v>
      </c>
    </row>
    <row r="23" customFormat="false" ht="15" hidden="false" customHeight="false" outlineLevel="0" collapsed="false">
      <c r="A23" s="27" t="s">
        <v>343</v>
      </c>
      <c r="B23" s="28" t="n">
        <v>46276</v>
      </c>
      <c r="C23" s="27" t="s">
        <v>237</v>
      </c>
      <c r="D23" s="27" t="s">
        <v>318</v>
      </c>
      <c r="E23" s="29" t="n">
        <v>48200</v>
      </c>
      <c r="F23" s="27" t="s">
        <v>165</v>
      </c>
      <c r="G23" s="27" t="s">
        <v>319</v>
      </c>
      <c r="H23" s="27" t="str">
        <f aca="false">IFERROR(INDEX(Client_Master!$B$2:$B$41,MATCH(C23,Client_Master!$A$2:$A$41,0)),"UNKNOWN CLIENT")</f>
        <v>Harbour Point Trading Co</v>
      </c>
      <c r="I23" s="27" t="str">
        <f aca="false">IF(LEFT(D23,4)="Cash","Y","N")</f>
        <v>N</v>
      </c>
      <c r="J23" s="27" t="str">
        <f aca="false">IF(OR(D23="Cash Deposit",D23="Wire In"),"In","Out")</f>
        <v>Out</v>
      </c>
      <c r="K23" s="27" t="str">
        <f aca="false">IF(AND(I23="Y",E23&gt;=Assumptions!$B$6,E23&lt;=Assumptions!$B$5),"Y","N")</f>
        <v>N</v>
      </c>
      <c r="L23" s="27" t="n">
        <f aca="false">IFERROR(INDEX(Assumptions!$B$22:$B$39,MATCH(F23,Assumptions!$A$22:$A$39,0)),0)</f>
        <v>0</v>
      </c>
      <c r="M23" s="29" t="n">
        <f aca="false">IF(I23="Y",SUMIFS($E$2:$E$114,$C$2:$C$114,C23,$B$2:$B$114,B23,$I$2:$I$114,"Y",$J$2:$J$114,J23),0)</f>
        <v>0</v>
      </c>
      <c r="N23" s="27" t="str">
        <f aca="false">IF(M23&gt;Assumptions!$B$5,"CTR","")</f>
        <v/>
      </c>
      <c r="O23" s="27" t="str">
        <f aca="false">IFERROR(INDEX(Client_Master!$R$2:$R$41,MATCH(C23,Client_Master!$A$2:$A$41,0)),"No KYC record")</f>
        <v>Complete</v>
      </c>
    </row>
    <row r="24" customFormat="false" ht="15" hidden="false" customHeight="false" outlineLevel="0" collapsed="false">
      <c r="A24" s="27" t="s">
        <v>344</v>
      </c>
      <c r="B24" s="28" t="n">
        <v>46276</v>
      </c>
      <c r="C24" s="27" t="s">
        <v>277</v>
      </c>
      <c r="D24" s="27" t="s">
        <v>318</v>
      </c>
      <c r="E24" s="29" t="n">
        <v>55700</v>
      </c>
      <c r="F24" s="27" t="s">
        <v>161</v>
      </c>
      <c r="G24" s="27" t="s">
        <v>319</v>
      </c>
      <c r="H24" s="27" t="str">
        <f aca="false">IFERROR(INDEX(Client_Master!$B$2:$B$41,MATCH(C24,Client_Master!$A$2:$A$41,0)),"UNKNOWN CLIENT")</f>
        <v>Delta Cloud Systems Pvt Ltd</v>
      </c>
      <c r="I24" s="27" t="str">
        <f aca="false">IF(LEFT(D24,4)="Cash","Y","N")</f>
        <v>N</v>
      </c>
      <c r="J24" s="27" t="str">
        <f aca="false">IF(OR(D24="Cash Deposit",D24="Wire In"),"In","Out")</f>
        <v>Out</v>
      </c>
      <c r="K24" s="27" t="str">
        <f aca="false">IF(AND(I24="Y",E24&gt;=Assumptions!$B$6,E24&lt;=Assumptions!$B$5),"Y","N")</f>
        <v>N</v>
      </c>
      <c r="L24" s="27" t="n">
        <f aca="false">IFERROR(INDEX(Assumptions!$B$22:$B$39,MATCH(F24,Assumptions!$A$22:$A$39,0)),0)</f>
        <v>0</v>
      </c>
      <c r="M24" s="29" t="n">
        <f aca="false">IF(I24="Y",SUMIFS($E$2:$E$114,$C$2:$C$114,C24,$B$2:$B$114,B24,$I$2:$I$114,"Y",$J$2:$J$114,J24),0)</f>
        <v>0</v>
      </c>
      <c r="N24" s="27" t="str">
        <f aca="false">IF(M24&gt;Assumptions!$B$5,"CTR","")</f>
        <v/>
      </c>
      <c r="O24" s="27" t="str">
        <f aca="false">IFERROR(INDEX(Client_Master!$R$2:$R$41,MATCH(C24,Client_Master!$A$2:$A$41,0)),"No KYC record")</f>
        <v>Complete</v>
      </c>
    </row>
    <row r="25" customFormat="false" ht="15" hidden="false" customHeight="false" outlineLevel="0" collapsed="false">
      <c r="A25" s="27" t="s">
        <v>345</v>
      </c>
      <c r="B25" s="28" t="n">
        <v>46276</v>
      </c>
      <c r="C25" s="27" t="s">
        <v>298</v>
      </c>
      <c r="D25" s="27" t="s">
        <v>315</v>
      </c>
      <c r="E25" s="29" t="n">
        <v>89900</v>
      </c>
      <c r="F25" s="27" t="s">
        <v>148</v>
      </c>
      <c r="G25" s="27" t="s">
        <v>316</v>
      </c>
      <c r="H25" s="27" t="str">
        <f aca="false">IFERROR(INDEX(Client_Master!$B$2:$B$41,MATCH(C25,Client_Master!$A$2:$A$41,0)),"UNKNOWN CLIENT")</f>
        <v>Orchid Textiles Pvt Ltd</v>
      </c>
      <c r="I25" s="27" t="str">
        <f aca="false">IF(LEFT(D25,4)="Cash","Y","N")</f>
        <v>N</v>
      </c>
      <c r="J25" s="27" t="str">
        <f aca="false">IF(OR(D25="Cash Deposit",D25="Wire In"),"In","Out")</f>
        <v>In</v>
      </c>
      <c r="K25" s="27" t="str">
        <f aca="false">IF(AND(I25="Y",E25&gt;=Assumptions!$B$6,E25&lt;=Assumptions!$B$5),"Y","N")</f>
        <v>N</v>
      </c>
      <c r="L25" s="27" t="n">
        <f aca="false">IFERROR(INDEX(Assumptions!$B$22:$B$39,MATCH(F25,Assumptions!$A$22:$A$39,0)),0)</f>
        <v>0</v>
      </c>
      <c r="M25" s="29" t="n">
        <f aca="false">IF(I25="Y",SUMIFS($E$2:$E$114,$C$2:$C$114,C25,$B$2:$B$114,B25,$I$2:$I$114,"Y",$J$2:$J$114,J25),0)</f>
        <v>0</v>
      </c>
      <c r="N25" s="27" t="str">
        <f aca="false">IF(M25&gt;Assumptions!$B$5,"CTR","")</f>
        <v/>
      </c>
      <c r="O25" s="27" t="str">
        <f aca="false">IFERROR(INDEX(Client_Master!$R$2:$R$41,MATCH(C25,Client_Master!$A$2:$A$41,0)),"No KYC record")</f>
        <v>Complete</v>
      </c>
    </row>
    <row r="26" customFormat="false" ht="15" hidden="false" customHeight="false" outlineLevel="0" collapsed="false">
      <c r="A26" s="27" t="s">
        <v>346</v>
      </c>
      <c r="B26" s="28" t="n">
        <v>46279</v>
      </c>
      <c r="C26" s="27" t="s">
        <v>221</v>
      </c>
      <c r="D26" s="27" t="s">
        <v>318</v>
      </c>
      <c r="E26" s="29" t="n">
        <v>80200</v>
      </c>
      <c r="F26" s="27" t="s">
        <v>152</v>
      </c>
      <c r="G26" s="27" t="s">
        <v>319</v>
      </c>
      <c r="H26" s="27" t="str">
        <f aca="false">IFERROR(INDEX(Client_Master!$B$2:$B$41,MATCH(C26,Client_Master!$A$2:$A$41,0)),"UNKNOWN CLIENT")</f>
        <v>Nordic Precision Manufacturing GmbH</v>
      </c>
      <c r="I26" s="27" t="str">
        <f aca="false">IF(LEFT(D26,4)="Cash","Y","N")</f>
        <v>N</v>
      </c>
      <c r="J26" s="27" t="str">
        <f aca="false">IF(OR(D26="Cash Deposit",D26="Wire In"),"In","Out")</f>
        <v>Out</v>
      </c>
      <c r="K26" s="27" t="str">
        <f aca="false">IF(AND(I26="Y",E26&gt;=Assumptions!$B$6,E26&lt;=Assumptions!$B$5),"Y","N")</f>
        <v>N</v>
      </c>
      <c r="L26" s="27" t="n">
        <f aca="false">IFERROR(INDEX(Assumptions!$B$22:$B$39,MATCH(F26,Assumptions!$A$22:$A$39,0)),0)</f>
        <v>0</v>
      </c>
      <c r="M26" s="29" t="n">
        <f aca="false">IF(I26="Y",SUMIFS($E$2:$E$114,$C$2:$C$114,C26,$B$2:$B$114,B26,$I$2:$I$114,"Y",$J$2:$J$114,J26),0)</f>
        <v>0</v>
      </c>
      <c r="N26" s="27" t="str">
        <f aca="false">IF(M26&gt;Assumptions!$B$5,"CTR","")</f>
        <v/>
      </c>
      <c r="O26" s="27" t="str">
        <f aca="false">IFERROR(INDEX(Client_Master!$R$2:$R$41,MATCH(C26,Client_Master!$A$2:$A$41,0)),"No KYC record")</f>
        <v>Complete</v>
      </c>
    </row>
    <row r="27" customFormat="false" ht="15" hidden="false" customHeight="false" outlineLevel="0" collapsed="false">
      <c r="A27" s="27" t="s">
        <v>347</v>
      </c>
      <c r="B27" s="28" t="n">
        <v>46279</v>
      </c>
      <c r="C27" s="27" t="s">
        <v>227</v>
      </c>
      <c r="D27" s="27" t="s">
        <v>332</v>
      </c>
      <c r="E27" s="29" t="n">
        <v>3400</v>
      </c>
      <c r="F27" s="27" t="s">
        <v>148</v>
      </c>
      <c r="G27" s="27" t="s">
        <v>348</v>
      </c>
      <c r="H27" s="27" t="str">
        <f aca="false">IFERROR(INDEX(Client_Master!$B$2:$B$41,MATCH(C27,Client_Master!$A$2:$A$41,0)),"UNKNOWN CLIENT")</f>
        <v>Spice Route Restaurants Group Inc</v>
      </c>
      <c r="I27" s="27" t="str">
        <f aca="false">IF(LEFT(D27,4)="Cash","Y","N")</f>
        <v>Y</v>
      </c>
      <c r="J27" s="27" t="str">
        <f aca="false">IF(OR(D27="Cash Deposit",D27="Wire In"),"In","Out")</f>
        <v>In</v>
      </c>
      <c r="K27" s="27" t="str">
        <f aca="false">IF(AND(I27="Y",E27&gt;=Assumptions!$B$6,E27&lt;=Assumptions!$B$5),"Y","N")</f>
        <v>N</v>
      </c>
      <c r="L27" s="27" t="n">
        <f aca="false">IFERROR(INDEX(Assumptions!$B$22:$B$39,MATCH(F27,Assumptions!$A$22:$A$39,0)),0)</f>
        <v>0</v>
      </c>
      <c r="M27" s="29" t="n">
        <f aca="false">IF(I27="Y",SUMIFS($E$2:$E$114,$C$2:$C$114,C27,$B$2:$B$114,B27,$I$2:$I$114,"Y",$J$2:$J$114,J27),0)</f>
        <v>3400</v>
      </c>
      <c r="N27" s="27" t="str">
        <f aca="false">IF(M27&gt;Assumptions!$B$5,"CTR","")</f>
        <v/>
      </c>
      <c r="O27" s="27" t="str">
        <f aca="false">IFERROR(INDEX(Client_Master!$R$2:$R$41,MATCH(C27,Client_Master!$A$2:$A$41,0)),"No KYC record")</f>
        <v>Complete</v>
      </c>
    </row>
    <row r="28" customFormat="false" ht="15" hidden="false" customHeight="false" outlineLevel="0" collapsed="false">
      <c r="A28" s="27" t="s">
        <v>349</v>
      </c>
      <c r="B28" s="28" t="n">
        <v>46279</v>
      </c>
      <c r="C28" s="27" t="s">
        <v>237</v>
      </c>
      <c r="D28" s="27" t="s">
        <v>315</v>
      </c>
      <c r="E28" s="29" t="n">
        <v>37000</v>
      </c>
      <c r="F28" s="27" t="s">
        <v>152</v>
      </c>
      <c r="G28" s="27" t="s">
        <v>316</v>
      </c>
      <c r="H28" s="27" t="str">
        <f aca="false">IFERROR(INDEX(Client_Master!$B$2:$B$41,MATCH(C28,Client_Master!$A$2:$A$41,0)),"UNKNOWN CLIENT")</f>
        <v>Harbour Point Trading Co</v>
      </c>
      <c r="I28" s="27" t="str">
        <f aca="false">IF(LEFT(D28,4)="Cash","Y","N")</f>
        <v>N</v>
      </c>
      <c r="J28" s="27" t="str">
        <f aca="false">IF(OR(D28="Cash Deposit",D28="Wire In"),"In","Out")</f>
        <v>In</v>
      </c>
      <c r="K28" s="27" t="str">
        <f aca="false">IF(AND(I28="Y",E28&gt;=Assumptions!$B$6,E28&lt;=Assumptions!$B$5),"Y","N")</f>
        <v>N</v>
      </c>
      <c r="L28" s="27" t="n">
        <f aca="false">IFERROR(INDEX(Assumptions!$B$22:$B$39,MATCH(F28,Assumptions!$A$22:$A$39,0)),0)</f>
        <v>0</v>
      </c>
      <c r="M28" s="29" t="n">
        <f aca="false">IF(I28="Y",SUMIFS($E$2:$E$114,$C$2:$C$114,C28,$B$2:$B$114,B28,$I$2:$I$114,"Y",$J$2:$J$114,J28),0)</f>
        <v>0</v>
      </c>
      <c r="N28" s="27" t="str">
        <f aca="false">IF(M28&gt;Assumptions!$B$5,"CTR","")</f>
        <v/>
      </c>
      <c r="O28" s="27" t="str">
        <f aca="false">IFERROR(INDEX(Client_Master!$R$2:$R$41,MATCH(C28,Client_Master!$A$2:$A$41,0)),"No KYC record")</f>
        <v>Complete</v>
      </c>
    </row>
    <row r="29" customFormat="false" ht="15" hidden="false" customHeight="false" outlineLevel="0" collapsed="false">
      <c r="A29" s="27" t="s">
        <v>350</v>
      </c>
      <c r="B29" s="28" t="n">
        <v>46280</v>
      </c>
      <c r="C29" s="27" t="s">
        <v>275</v>
      </c>
      <c r="D29" s="27" t="s">
        <v>315</v>
      </c>
      <c r="E29" s="29" t="n">
        <v>30000</v>
      </c>
      <c r="F29" s="27" t="s">
        <v>163</v>
      </c>
      <c r="G29" s="27" t="s">
        <v>351</v>
      </c>
      <c r="H29" s="27" t="str">
        <f aca="false">IFERROR(INDEX(Client_Master!$B$2:$B$41,MATCH(C29,Client_Master!$A$2:$A$41,0)),"UNKNOWN CLIENT")</f>
        <v>The Halvorsen Family Trust</v>
      </c>
      <c r="I29" s="27" t="str">
        <f aca="false">IF(LEFT(D29,4)="Cash","Y","N")</f>
        <v>N</v>
      </c>
      <c r="J29" s="27" t="str">
        <f aca="false">IF(OR(D29="Cash Deposit",D29="Wire In"),"In","Out")</f>
        <v>In</v>
      </c>
      <c r="K29" s="27" t="str">
        <f aca="false">IF(AND(I29="Y",E29&gt;=Assumptions!$B$6,E29&lt;=Assumptions!$B$5),"Y","N")</f>
        <v>N</v>
      </c>
      <c r="L29" s="27" t="n">
        <f aca="false">IFERROR(INDEX(Assumptions!$B$22:$B$39,MATCH(F29,Assumptions!$A$22:$A$39,0)),0)</f>
        <v>0</v>
      </c>
      <c r="M29" s="29" t="n">
        <f aca="false">IF(I29="Y",SUMIFS($E$2:$E$114,$C$2:$C$114,C29,$B$2:$B$114,B29,$I$2:$I$114,"Y",$J$2:$J$114,J29),0)</f>
        <v>0</v>
      </c>
      <c r="N29" s="27" t="str">
        <f aca="false">IF(M29&gt;Assumptions!$B$5,"CTR","")</f>
        <v/>
      </c>
      <c r="O29" s="27" t="str">
        <f aca="false">IFERROR(INDEX(Client_Master!$R$2:$R$41,MATCH(C29,Client_Master!$A$2:$A$41,0)),"No KYC record")</f>
        <v>Complete</v>
      </c>
    </row>
    <row r="30" customFormat="false" ht="15" hidden="false" customHeight="false" outlineLevel="0" collapsed="false">
      <c r="A30" s="27" t="s">
        <v>352</v>
      </c>
      <c r="B30" s="28" t="n">
        <v>46280</v>
      </c>
      <c r="C30" s="27" t="s">
        <v>291</v>
      </c>
      <c r="D30" s="27" t="s">
        <v>318</v>
      </c>
      <c r="E30" s="29" t="n">
        <v>18100</v>
      </c>
      <c r="F30" s="27" t="s">
        <v>148</v>
      </c>
      <c r="G30" s="27" t="s">
        <v>319</v>
      </c>
      <c r="H30" s="27" t="str">
        <f aca="false">IFERROR(INDEX(Client_Master!$B$2:$B$41,MATCH(C30,Client_Master!$A$2:$A$41,0)),"UNKNOWN CLIENT")</f>
        <v>Emerald Isle Software Ltd</v>
      </c>
      <c r="I30" s="27" t="str">
        <f aca="false">IF(LEFT(D30,4)="Cash","Y","N")</f>
        <v>N</v>
      </c>
      <c r="J30" s="27" t="str">
        <f aca="false">IF(OR(D30="Cash Deposit",D30="Wire In"),"In","Out")</f>
        <v>Out</v>
      </c>
      <c r="K30" s="27" t="str">
        <f aca="false">IF(AND(I30="Y",E30&gt;=Assumptions!$B$6,E30&lt;=Assumptions!$B$5),"Y","N")</f>
        <v>N</v>
      </c>
      <c r="L30" s="27" t="n">
        <f aca="false">IFERROR(INDEX(Assumptions!$B$22:$B$39,MATCH(F30,Assumptions!$A$22:$A$39,0)),0)</f>
        <v>0</v>
      </c>
      <c r="M30" s="29" t="n">
        <f aca="false">IF(I30="Y",SUMIFS($E$2:$E$114,$C$2:$C$114,C30,$B$2:$B$114,B30,$I$2:$I$114,"Y",$J$2:$J$114,J30),0)</f>
        <v>0</v>
      </c>
      <c r="N30" s="27" t="str">
        <f aca="false">IF(M30&gt;Assumptions!$B$5,"CTR","")</f>
        <v/>
      </c>
      <c r="O30" s="27" t="str">
        <f aca="false">IFERROR(INDEX(Client_Master!$R$2:$R$41,MATCH(C30,Client_Master!$A$2:$A$41,0)),"No KYC record")</f>
        <v>Complete</v>
      </c>
    </row>
    <row r="31" customFormat="false" ht="15" hidden="false" customHeight="false" outlineLevel="0" collapsed="false">
      <c r="A31" s="27" t="s">
        <v>353</v>
      </c>
      <c r="B31" s="28" t="n">
        <v>46281</v>
      </c>
      <c r="C31" s="27" t="s">
        <v>265</v>
      </c>
      <c r="D31" s="27" t="s">
        <v>332</v>
      </c>
      <c r="E31" s="29" t="n">
        <v>4200</v>
      </c>
      <c r="F31" s="27" t="s">
        <v>148</v>
      </c>
      <c r="G31" s="27" t="s">
        <v>336</v>
      </c>
      <c r="H31" s="27" t="str">
        <f aca="false">IFERROR(INDEX(Client_Master!$B$2:$B$41,MATCH(C31,Client_Master!$A$2:$A$41,0)),"UNKNOWN CLIENT")</f>
        <v>Sunrise Auto Traders LLC</v>
      </c>
      <c r="I31" s="27" t="str">
        <f aca="false">IF(LEFT(D31,4)="Cash","Y","N")</f>
        <v>Y</v>
      </c>
      <c r="J31" s="27" t="str">
        <f aca="false">IF(OR(D31="Cash Deposit",D31="Wire In"),"In","Out")</f>
        <v>In</v>
      </c>
      <c r="K31" s="27" t="str">
        <f aca="false">IF(AND(I31="Y",E31&gt;=Assumptions!$B$6,E31&lt;=Assumptions!$B$5),"Y","N")</f>
        <v>N</v>
      </c>
      <c r="L31" s="27" t="n">
        <f aca="false">IFERROR(INDEX(Assumptions!$B$22:$B$39,MATCH(F31,Assumptions!$A$22:$A$39,0)),0)</f>
        <v>0</v>
      </c>
      <c r="M31" s="29" t="n">
        <f aca="false">IF(I31="Y",SUMIFS($E$2:$E$114,$C$2:$C$114,C31,$B$2:$B$114,B31,$I$2:$I$114,"Y",$J$2:$J$114,J31),0)</f>
        <v>4200</v>
      </c>
      <c r="N31" s="27" t="str">
        <f aca="false">IF(M31&gt;Assumptions!$B$5,"CTR","")</f>
        <v/>
      </c>
      <c r="O31" s="27" t="str">
        <f aca="false">IFERROR(INDEX(Client_Master!$R$2:$R$41,MATCH(C31,Client_Master!$A$2:$A$41,0)),"No KYC record")</f>
        <v>Incomplete - Docs</v>
      </c>
    </row>
    <row r="32" customFormat="false" ht="15" hidden="false" customHeight="false" outlineLevel="0" collapsed="false">
      <c r="A32" s="27" t="s">
        <v>354</v>
      </c>
      <c r="B32" s="28" t="n">
        <v>46283</v>
      </c>
      <c r="C32" s="27" t="s">
        <v>243</v>
      </c>
      <c r="D32" s="27" t="s">
        <v>318</v>
      </c>
      <c r="E32" s="29" t="n">
        <v>58000</v>
      </c>
      <c r="F32" s="27" t="s">
        <v>167</v>
      </c>
      <c r="G32" s="27" t="s">
        <v>319</v>
      </c>
      <c r="H32" s="27" t="str">
        <f aca="false">IFERROR(INDEX(Client_Master!$B$2:$B$41,MATCH(C32,Client_Master!$A$2:$A$41,0)),"UNKNOWN CLIENT")</f>
        <v>Sakura Electronics KK</v>
      </c>
      <c r="I32" s="27" t="str">
        <f aca="false">IF(LEFT(D32,4)="Cash","Y","N")</f>
        <v>N</v>
      </c>
      <c r="J32" s="27" t="str">
        <f aca="false">IF(OR(D32="Cash Deposit",D32="Wire In"),"In","Out")</f>
        <v>Out</v>
      </c>
      <c r="K32" s="27" t="str">
        <f aca="false">IF(AND(I32="Y",E32&gt;=Assumptions!$B$6,E32&lt;=Assumptions!$B$5),"Y","N")</f>
        <v>N</v>
      </c>
      <c r="L32" s="27" t="n">
        <f aca="false">IFERROR(INDEX(Assumptions!$B$22:$B$39,MATCH(F32,Assumptions!$A$22:$A$39,0)),0)</f>
        <v>0</v>
      </c>
      <c r="M32" s="29" t="n">
        <f aca="false">IF(I32="Y",SUMIFS($E$2:$E$114,$C$2:$C$114,C32,$B$2:$B$114,B32,$I$2:$I$114,"Y",$J$2:$J$114,J32),0)</f>
        <v>0</v>
      </c>
      <c r="N32" s="27" t="str">
        <f aca="false">IF(M32&gt;Assumptions!$B$5,"CTR","")</f>
        <v/>
      </c>
      <c r="O32" s="27" t="str">
        <f aca="false">IFERROR(INDEX(Client_Master!$R$2:$R$41,MATCH(C32,Client_Master!$A$2:$A$41,0)),"No KYC record")</f>
        <v>Complete</v>
      </c>
    </row>
    <row r="33" customFormat="false" ht="15" hidden="false" customHeight="false" outlineLevel="0" collapsed="false">
      <c r="A33" s="27" t="s">
        <v>355</v>
      </c>
      <c r="B33" s="28" t="n">
        <v>46283</v>
      </c>
      <c r="C33" s="27" t="s">
        <v>245</v>
      </c>
      <c r="D33" s="27" t="s">
        <v>315</v>
      </c>
      <c r="E33" s="29" t="n">
        <v>18600</v>
      </c>
      <c r="F33" s="27" t="s">
        <v>155</v>
      </c>
      <c r="G33" s="27" t="s">
        <v>316</v>
      </c>
      <c r="H33" s="27" t="str">
        <f aca="false">IFERROR(INDEX(Client_Master!$B$2:$B$41,MATCH(C33,Client_Master!$A$2:$A$41,0)),"UNKNOWN CLIENT")</f>
        <v>Maple Leaf Health Clinics Inc</v>
      </c>
      <c r="I33" s="27" t="str">
        <f aca="false">IF(LEFT(D33,4)="Cash","Y","N")</f>
        <v>N</v>
      </c>
      <c r="J33" s="27" t="str">
        <f aca="false">IF(OR(D33="Cash Deposit",D33="Wire In"),"In","Out")</f>
        <v>In</v>
      </c>
      <c r="K33" s="27" t="str">
        <f aca="false">IF(AND(I33="Y",E33&gt;=Assumptions!$B$6,E33&lt;=Assumptions!$B$5),"Y","N")</f>
        <v>N</v>
      </c>
      <c r="L33" s="27" t="n">
        <f aca="false">IFERROR(INDEX(Assumptions!$B$22:$B$39,MATCH(F33,Assumptions!$A$22:$A$39,0)),0)</f>
        <v>0</v>
      </c>
      <c r="M33" s="29" t="n">
        <f aca="false">IF(I33="Y",SUMIFS($E$2:$E$114,$C$2:$C$114,C33,$B$2:$B$114,B33,$I$2:$I$114,"Y",$J$2:$J$114,J33),0)</f>
        <v>0</v>
      </c>
      <c r="N33" s="27" t="str">
        <f aca="false">IF(M33&gt;Assumptions!$B$5,"CTR","")</f>
        <v/>
      </c>
      <c r="O33" s="27" t="str">
        <f aca="false">IFERROR(INDEX(Client_Master!$R$2:$R$41,MATCH(C33,Client_Master!$A$2:$A$41,0)),"No KYC record")</f>
        <v>Complete</v>
      </c>
    </row>
    <row r="34" customFormat="false" ht="15" hidden="false" customHeight="false" outlineLevel="0" collapsed="false">
      <c r="A34" s="27" t="s">
        <v>356</v>
      </c>
      <c r="B34" s="28" t="n">
        <v>46286</v>
      </c>
      <c r="C34" s="27" t="s">
        <v>279</v>
      </c>
      <c r="D34" s="27" t="s">
        <v>315</v>
      </c>
      <c r="E34" s="29" t="n">
        <v>20600</v>
      </c>
      <c r="F34" s="27" t="s">
        <v>148</v>
      </c>
      <c r="G34" s="27" t="s">
        <v>316</v>
      </c>
      <c r="H34" s="27" t="str">
        <f aca="false">IFERROR(INDEX(Client_Master!$B$2:$B$41,MATCH(C34,Client_Master!$A$2:$A$41,0)),"UNKNOWN CLIENT")</f>
        <v>Meridian Textile Exports Pvt Ltd</v>
      </c>
      <c r="I34" s="27" t="str">
        <f aca="false">IF(LEFT(D34,4)="Cash","Y","N")</f>
        <v>N</v>
      </c>
      <c r="J34" s="27" t="str">
        <f aca="false">IF(OR(D34="Cash Deposit",D34="Wire In"),"In","Out")</f>
        <v>In</v>
      </c>
      <c r="K34" s="27" t="str">
        <f aca="false">IF(AND(I34="Y",E34&gt;=Assumptions!$B$6,E34&lt;=Assumptions!$B$5),"Y","N")</f>
        <v>N</v>
      </c>
      <c r="L34" s="27" t="n">
        <f aca="false">IFERROR(INDEX(Assumptions!$B$22:$B$39,MATCH(F34,Assumptions!$A$22:$A$39,0)),0)</f>
        <v>0</v>
      </c>
      <c r="M34" s="29" t="n">
        <f aca="false">IF(I34="Y",SUMIFS($E$2:$E$114,$C$2:$C$114,C34,$B$2:$B$114,B34,$I$2:$I$114,"Y",$J$2:$J$114,J34),0)</f>
        <v>0</v>
      </c>
      <c r="N34" s="27" t="str">
        <f aca="false">IF(M34&gt;Assumptions!$B$5,"CTR","")</f>
        <v/>
      </c>
      <c r="O34" s="27" t="str">
        <f aca="false">IFERROR(INDEX(Client_Master!$R$2:$R$41,MATCH(C34,Client_Master!$A$2:$A$41,0)),"No KYC record")</f>
        <v>Complete</v>
      </c>
    </row>
    <row r="35" customFormat="false" ht="15" hidden="false" customHeight="false" outlineLevel="0" collapsed="false">
      <c r="A35" s="27" t="s">
        <v>357</v>
      </c>
      <c r="B35" s="28" t="n">
        <v>46286</v>
      </c>
      <c r="C35" s="27" t="s">
        <v>296</v>
      </c>
      <c r="D35" s="27" t="s">
        <v>332</v>
      </c>
      <c r="E35" s="29" t="n">
        <v>3600</v>
      </c>
      <c r="F35" s="27" t="s">
        <v>152</v>
      </c>
      <c r="G35" s="27" t="s">
        <v>336</v>
      </c>
      <c r="H35" s="27" t="str">
        <f aca="false">IFERROR(INDEX(Client_Master!$B$2:$B$41,MATCH(C35,Client_Master!$A$2:$A$41,0)),"UNKNOWN CLIENT")</f>
        <v>Ridgeway Used Cars Ltd</v>
      </c>
      <c r="I35" s="27" t="str">
        <f aca="false">IF(LEFT(D35,4)="Cash","Y","N")</f>
        <v>Y</v>
      </c>
      <c r="J35" s="27" t="str">
        <f aca="false">IF(OR(D35="Cash Deposit",D35="Wire In"),"In","Out")</f>
        <v>In</v>
      </c>
      <c r="K35" s="27" t="str">
        <f aca="false">IF(AND(I35="Y",E35&gt;=Assumptions!$B$6,E35&lt;=Assumptions!$B$5),"Y","N")</f>
        <v>N</v>
      </c>
      <c r="L35" s="27" t="n">
        <f aca="false">IFERROR(INDEX(Assumptions!$B$22:$B$39,MATCH(F35,Assumptions!$A$22:$A$39,0)),0)</f>
        <v>0</v>
      </c>
      <c r="M35" s="29" t="n">
        <f aca="false">IF(I35="Y",SUMIFS($E$2:$E$114,$C$2:$C$114,C35,$B$2:$B$114,B35,$I$2:$I$114,"Y",$J$2:$J$114,J35),0)</f>
        <v>3600</v>
      </c>
      <c r="N35" s="27" t="str">
        <f aca="false">IF(M35&gt;Assumptions!$B$5,"CTR","")</f>
        <v/>
      </c>
      <c r="O35" s="27" t="str">
        <f aca="false">IFERROR(INDEX(Client_Master!$R$2:$R$41,MATCH(C35,Client_Master!$A$2:$A$41,0)),"No KYC record")</f>
        <v>Complete</v>
      </c>
    </row>
    <row r="36" customFormat="false" ht="15" hidden="false" customHeight="false" outlineLevel="0" collapsed="false">
      <c r="A36" s="27" t="s">
        <v>358</v>
      </c>
      <c r="B36" s="28" t="n">
        <v>46287</v>
      </c>
      <c r="C36" s="27" t="s">
        <v>255</v>
      </c>
      <c r="D36" s="27" t="s">
        <v>332</v>
      </c>
      <c r="E36" s="29" t="n">
        <v>4000</v>
      </c>
      <c r="F36" s="27" t="s">
        <v>148</v>
      </c>
      <c r="G36" s="27" t="s">
        <v>333</v>
      </c>
      <c r="H36" s="27" t="str">
        <f aca="false">IFERROR(INDEX(Client_Master!$B$2:$B$41,MATCH(C36,Client_Master!$A$2:$A$41,0)),"UNKNOWN CLIENT")</f>
        <v>Metro Fuel &amp; Convenience Stores Inc</v>
      </c>
      <c r="I36" s="27" t="str">
        <f aca="false">IF(LEFT(D36,4)="Cash","Y","N")</f>
        <v>Y</v>
      </c>
      <c r="J36" s="27" t="str">
        <f aca="false">IF(OR(D36="Cash Deposit",D36="Wire In"),"In","Out")</f>
        <v>In</v>
      </c>
      <c r="K36" s="27" t="str">
        <f aca="false">IF(AND(I36="Y",E36&gt;=Assumptions!$B$6,E36&lt;=Assumptions!$B$5),"Y","N")</f>
        <v>N</v>
      </c>
      <c r="L36" s="27" t="n">
        <f aca="false">IFERROR(INDEX(Assumptions!$B$22:$B$39,MATCH(F36,Assumptions!$A$22:$A$39,0)),0)</f>
        <v>0</v>
      </c>
      <c r="M36" s="29" t="n">
        <f aca="false">IF(I36="Y",SUMIFS($E$2:$E$114,$C$2:$C$114,C36,$B$2:$B$114,B36,$I$2:$I$114,"Y",$J$2:$J$114,J36),0)</f>
        <v>4000</v>
      </c>
      <c r="N36" s="27" t="str">
        <f aca="false">IF(M36&gt;Assumptions!$B$5,"CTR","")</f>
        <v/>
      </c>
      <c r="O36" s="27" t="str">
        <f aca="false">IFERROR(INDEX(Client_Master!$R$2:$R$41,MATCH(C36,Client_Master!$A$2:$A$41,0)),"No KYC record")</f>
        <v>Complete</v>
      </c>
    </row>
    <row r="37" customFormat="false" ht="15" hidden="false" customHeight="false" outlineLevel="0" collapsed="false">
      <c r="A37" s="27" t="s">
        <v>359</v>
      </c>
      <c r="B37" s="28" t="n">
        <v>46287</v>
      </c>
      <c r="C37" s="27" t="s">
        <v>282</v>
      </c>
      <c r="D37" s="27" t="s">
        <v>318</v>
      </c>
      <c r="E37" s="29" t="n">
        <v>10000</v>
      </c>
      <c r="F37" s="27" t="s">
        <v>158</v>
      </c>
      <c r="G37" s="27" t="s">
        <v>319</v>
      </c>
      <c r="H37" s="27" t="str">
        <f aca="false">IFERROR(INDEX(Client_Master!$B$2:$B$41,MATCH(C37,Client_Master!$A$2:$A$41,0)),"UNKNOWN CLIENT")</f>
        <v>Lakeview Medical Supplies Inc</v>
      </c>
      <c r="I37" s="27" t="str">
        <f aca="false">IF(LEFT(D37,4)="Cash","Y","N")</f>
        <v>N</v>
      </c>
      <c r="J37" s="27" t="str">
        <f aca="false">IF(OR(D37="Cash Deposit",D37="Wire In"),"In","Out")</f>
        <v>Out</v>
      </c>
      <c r="K37" s="27" t="str">
        <f aca="false">IF(AND(I37="Y",E37&gt;=Assumptions!$B$6,E37&lt;=Assumptions!$B$5),"Y","N")</f>
        <v>N</v>
      </c>
      <c r="L37" s="27" t="n">
        <f aca="false">IFERROR(INDEX(Assumptions!$B$22:$B$39,MATCH(F37,Assumptions!$A$22:$A$39,0)),0)</f>
        <v>0</v>
      </c>
      <c r="M37" s="29" t="n">
        <f aca="false">IF(I37="Y",SUMIFS($E$2:$E$114,$C$2:$C$114,C37,$B$2:$B$114,B37,$I$2:$I$114,"Y",$J$2:$J$114,J37),0)</f>
        <v>0</v>
      </c>
      <c r="N37" s="27" t="str">
        <f aca="false">IF(M37&gt;Assumptions!$B$5,"CTR","")</f>
        <v/>
      </c>
      <c r="O37" s="27" t="str">
        <f aca="false">IFERROR(INDEX(Client_Master!$R$2:$R$41,MATCH(C37,Client_Master!$A$2:$A$41,0)),"No KYC record")</f>
        <v>Incomplete - Docs</v>
      </c>
    </row>
    <row r="38" customFormat="false" ht="15" hidden="false" customHeight="false" outlineLevel="0" collapsed="false">
      <c r="A38" s="27" t="s">
        <v>360</v>
      </c>
      <c r="B38" s="28" t="n">
        <v>46288</v>
      </c>
      <c r="C38" s="27" t="s">
        <v>221</v>
      </c>
      <c r="D38" s="27" t="s">
        <v>318</v>
      </c>
      <c r="E38" s="29" t="n">
        <v>61900</v>
      </c>
      <c r="F38" s="27" t="s">
        <v>161</v>
      </c>
      <c r="G38" s="27" t="s">
        <v>319</v>
      </c>
      <c r="H38" s="27" t="str">
        <f aca="false">IFERROR(INDEX(Client_Master!$B$2:$B$41,MATCH(C38,Client_Master!$A$2:$A$41,0)),"UNKNOWN CLIENT")</f>
        <v>Nordic Precision Manufacturing GmbH</v>
      </c>
      <c r="I38" s="27" t="str">
        <f aca="false">IF(LEFT(D38,4)="Cash","Y","N")</f>
        <v>N</v>
      </c>
      <c r="J38" s="27" t="str">
        <f aca="false">IF(OR(D38="Cash Deposit",D38="Wire In"),"In","Out")</f>
        <v>Out</v>
      </c>
      <c r="K38" s="27" t="str">
        <f aca="false">IF(AND(I38="Y",E38&gt;=Assumptions!$B$6,E38&lt;=Assumptions!$B$5),"Y","N")</f>
        <v>N</v>
      </c>
      <c r="L38" s="27" t="n">
        <f aca="false">IFERROR(INDEX(Assumptions!$B$22:$B$39,MATCH(F38,Assumptions!$A$22:$A$39,0)),0)</f>
        <v>0</v>
      </c>
      <c r="M38" s="29" t="n">
        <f aca="false">IF(I38="Y",SUMIFS($E$2:$E$114,$C$2:$C$114,C38,$B$2:$B$114,B38,$I$2:$I$114,"Y",$J$2:$J$114,J38),0)</f>
        <v>0</v>
      </c>
      <c r="N38" s="27" t="str">
        <f aca="false">IF(M38&gt;Assumptions!$B$5,"CTR","")</f>
        <v/>
      </c>
      <c r="O38" s="27" t="str">
        <f aca="false">IFERROR(INDEX(Client_Master!$R$2:$R$41,MATCH(C38,Client_Master!$A$2:$A$41,0)),"No KYC record")</f>
        <v>Complete</v>
      </c>
    </row>
    <row r="39" customFormat="false" ht="15" hidden="false" customHeight="false" outlineLevel="0" collapsed="false">
      <c r="A39" s="27" t="s">
        <v>361</v>
      </c>
      <c r="B39" s="28" t="n">
        <v>46288</v>
      </c>
      <c r="C39" s="27" t="s">
        <v>249</v>
      </c>
      <c r="D39" s="27" t="s">
        <v>318</v>
      </c>
      <c r="E39" s="29" t="n">
        <v>47300</v>
      </c>
      <c r="F39" s="27" t="s">
        <v>165</v>
      </c>
      <c r="G39" s="27" t="s">
        <v>319</v>
      </c>
      <c r="H39" s="27" t="str">
        <f aca="false">IFERROR(INDEX(Client_Master!$B$2:$B$41,MATCH(C39,Client_Master!$A$2:$A$41,0)),"UNKNOWN CLIENT")</f>
        <v>Bluewave Software Labs Inc</v>
      </c>
      <c r="I39" s="27" t="str">
        <f aca="false">IF(LEFT(D39,4)="Cash","Y","N")</f>
        <v>N</v>
      </c>
      <c r="J39" s="27" t="str">
        <f aca="false">IF(OR(D39="Cash Deposit",D39="Wire In"),"In","Out")</f>
        <v>Out</v>
      </c>
      <c r="K39" s="27" t="str">
        <f aca="false">IF(AND(I39="Y",E39&gt;=Assumptions!$B$6,E39&lt;=Assumptions!$B$5),"Y","N")</f>
        <v>N</v>
      </c>
      <c r="L39" s="27" t="n">
        <f aca="false">IFERROR(INDEX(Assumptions!$B$22:$B$39,MATCH(F39,Assumptions!$A$22:$A$39,0)),0)</f>
        <v>0</v>
      </c>
      <c r="M39" s="29" t="n">
        <f aca="false">IF(I39="Y",SUMIFS($E$2:$E$114,$C$2:$C$114,C39,$B$2:$B$114,B39,$I$2:$I$114,"Y",$J$2:$J$114,J39),0)</f>
        <v>0</v>
      </c>
      <c r="N39" s="27" t="str">
        <f aca="false">IF(M39&gt;Assumptions!$B$5,"CTR","")</f>
        <v/>
      </c>
      <c r="O39" s="27" t="str">
        <f aca="false">IFERROR(INDEX(Client_Master!$R$2:$R$41,MATCH(C39,Client_Master!$A$2:$A$41,0)),"No KYC record")</f>
        <v>Complete</v>
      </c>
    </row>
    <row r="40" customFormat="false" ht="15" hidden="false" customHeight="false" outlineLevel="0" collapsed="false">
      <c r="A40" s="27" t="s">
        <v>362</v>
      </c>
      <c r="B40" s="28" t="n">
        <v>46289</v>
      </c>
      <c r="C40" s="27" t="s">
        <v>233</v>
      </c>
      <c r="D40" s="27" t="s">
        <v>332</v>
      </c>
      <c r="E40" s="29" t="n">
        <v>28000</v>
      </c>
      <c r="F40" s="27" t="s">
        <v>172</v>
      </c>
      <c r="G40" s="27" t="s">
        <v>339</v>
      </c>
      <c r="H40" s="27" t="str">
        <f aca="false">IFERROR(INDEX(Client_Master!$B$2:$B$41,MATCH(C40,Client_Master!$A$2:$A$41,0)),"UNKNOWN CLIENT")</f>
        <v>Golden Crest Jewellers LLC</v>
      </c>
      <c r="I40" s="27" t="str">
        <f aca="false">IF(LEFT(D40,4)="Cash","Y","N")</f>
        <v>Y</v>
      </c>
      <c r="J40" s="27" t="str">
        <f aca="false">IF(OR(D40="Cash Deposit",D40="Wire In"),"In","Out")</f>
        <v>In</v>
      </c>
      <c r="K40" s="27" t="str">
        <f aca="false">IF(AND(I40="Y",E40&gt;=Assumptions!$B$6,E40&lt;=Assumptions!$B$5),"Y","N")</f>
        <v>N</v>
      </c>
      <c r="L40" s="27" t="n">
        <f aca="false">IFERROR(INDEX(Assumptions!$B$22:$B$39,MATCH(F40,Assumptions!$A$22:$A$39,0)),0)</f>
        <v>1</v>
      </c>
      <c r="M40" s="29" t="n">
        <f aca="false">IF(I40="Y",SUMIFS($E$2:$E$114,$C$2:$C$114,C40,$B$2:$B$114,B40,$I$2:$I$114,"Y",$J$2:$J$114,J40),0)</f>
        <v>28000</v>
      </c>
      <c r="N40" s="27" t="str">
        <f aca="false">IF(M40&gt;Assumptions!$B$5,"CTR","")</f>
        <v>CTR</v>
      </c>
      <c r="O40" s="27" t="str">
        <f aca="false">IFERROR(INDEX(Client_Master!$R$2:$R$41,MATCH(C40,Client_Master!$A$2:$A$41,0)),"No KYC record")</f>
        <v>Complete</v>
      </c>
    </row>
    <row r="41" customFormat="false" ht="15" hidden="false" customHeight="false" outlineLevel="0" collapsed="false">
      <c r="A41" s="27" t="s">
        <v>363</v>
      </c>
      <c r="B41" s="28" t="n">
        <v>46289</v>
      </c>
      <c r="C41" s="27" t="s">
        <v>249</v>
      </c>
      <c r="D41" s="27" t="s">
        <v>318</v>
      </c>
      <c r="E41" s="29" t="n">
        <v>50300</v>
      </c>
      <c r="F41" s="27" t="s">
        <v>152</v>
      </c>
      <c r="G41" s="27" t="s">
        <v>319</v>
      </c>
      <c r="H41" s="27" t="str">
        <f aca="false">IFERROR(INDEX(Client_Master!$B$2:$B$41,MATCH(C41,Client_Master!$A$2:$A$41,0)),"UNKNOWN CLIENT")</f>
        <v>Bluewave Software Labs Inc</v>
      </c>
      <c r="I41" s="27" t="str">
        <f aca="false">IF(LEFT(D41,4)="Cash","Y","N")</f>
        <v>N</v>
      </c>
      <c r="J41" s="27" t="str">
        <f aca="false">IF(OR(D41="Cash Deposit",D41="Wire In"),"In","Out")</f>
        <v>Out</v>
      </c>
      <c r="K41" s="27" t="str">
        <f aca="false">IF(AND(I41="Y",E41&gt;=Assumptions!$B$6,E41&lt;=Assumptions!$B$5),"Y","N")</f>
        <v>N</v>
      </c>
      <c r="L41" s="27" t="n">
        <f aca="false">IFERROR(INDEX(Assumptions!$B$22:$B$39,MATCH(F41,Assumptions!$A$22:$A$39,0)),0)</f>
        <v>0</v>
      </c>
      <c r="M41" s="29" t="n">
        <f aca="false">IF(I41="Y",SUMIFS($E$2:$E$114,$C$2:$C$114,C41,$B$2:$B$114,B41,$I$2:$I$114,"Y",$J$2:$J$114,J41),0)</f>
        <v>0</v>
      </c>
      <c r="N41" s="27" t="str">
        <f aca="false">IF(M41&gt;Assumptions!$B$5,"CTR","")</f>
        <v/>
      </c>
      <c r="O41" s="27" t="str">
        <f aca="false">IFERROR(INDEX(Client_Master!$R$2:$R$41,MATCH(C41,Client_Master!$A$2:$A$41,0)),"No KYC record")</f>
        <v>Complete</v>
      </c>
    </row>
    <row r="42" customFormat="false" ht="15" hidden="false" customHeight="false" outlineLevel="0" collapsed="false">
      <c r="A42" s="27" t="s">
        <v>364</v>
      </c>
      <c r="B42" s="28" t="n">
        <v>46289</v>
      </c>
      <c r="C42" s="27" t="s">
        <v>251</v>
      </c>
      <c r="D42" s="27" t="s">
        <v>315</v>
      </c>
      <c r="E42" s="29" t="n">
        <v>77100</v>
      </c>
      <c r="F42" s="27" t="s">
        <v>158</v>
      </c>
      <c r="G42" s="27" t="s">
        <v>316</v>
      </c>
      <c r="H42" s="27" t="str">
        <f aca="false">IFERROR(INDEX(Client_Master!$B$2:$B$41,MATCH(C42,Client_Master!$A$2:$A$41,0)),"UNKNOWN CLIENT")</f>
        <v>Evergreen Charitable Foundation</v>
      </c>
      <c r="I42" s="27" t="str">
        <f aca="false">IF(LEFT(D42,4)="Cash","Y","N")</f>
        <v>N</v>
      </c>
      <c r="J42" s="27" t="str">
        <f aca="false">IF(OR(D42="Cash Deposit",D42="Wire In"),"In","Out")</f>
        <v>In</v>
      </c>
      <c r="K42" s="27" t="str">
        <f aca="false">IF(AND(I42="Y",E42&gt;=Assumptions!$B$6,E42&lt;=Assumptions!$B$5),"Y","N")</f>
        <v>N</v>
      </c>
      <c r="L42" s="27" t="n">
        <f aca="false">IFERROR(INDEX(Assumptions!$B$22:$B$39,MATCH(F42,Assumptions!$A$22:$A$39,0)),0)</f>
        <v>0</v>
      </c>
      <c r="M42" s="29" t="n">
        <f aca="false">IF(I42="Y",SUMIFS($E$2:$E$114,$C$2:$C$114,C42,$B$2:$B$114,B42,$I$2:$I$114,"Y",$J$2:$J$114,J42),0)</f>
        <v>0</v>
      </c>
      <c r="N42" s="27" t="str">
        <f aca="false">IF(M42&gt;Assumptions!$B$5,"CTR","")</f>
        <v/>
      </c>
      <c r="O42" s="27" t="str">
        <f aca="false">IFERROR(INDEX(Client_Master!$R$2:$R$41,MATCH(C42,Client_Master!$A$2:$A$41,0)),"No KYC record")</f>
        <v>Incomplete - Docs</v>
      </c>
    </row>
    <row r="43" customFormat="false" ht="15" hidden="false" customHeight="false" outlineLevel="0" collapsed="false">
      <c r="A43" s="27" t="s">
        <v>365</v>
      </c>
      <c r="B43" s="28" t="n">
        <v>46290</v>
      </c>
      <c r="C43" s="27" t="s">
        <v>271</v>
      </c>
      <c r="D43" s="27" t="s">
        <v>315</v>
      </c>
      <c r="E43" s="29" t="n">
        <v>120000</v>
      </c>
      <c r="F43" s="27" t="s">
        <v>169</v>
      </c>
      <c r="G43" s="27" t="s">
        <v>316</v>
      </c>
      <c r="H43" s="27" t="str">
        <f aca="false">IFERROR(INDEX(Client_Master!$B$2:$B$41,MATCH(C43,Client_Master!$A$2:$A$41,0)),"UNKNOWN CLIENT")</f>
        <v>Irrawaddy Trade Links Ltd</v>
      </c>
      <c r="I43" s="27" t="str">
        <f aca="false">IF(LEFT(D43,4)="Cash","Y","N")</f>
        <v>N</v>
      </c>
      <c r="J43" s="27" t="str">
        <f aca="false">IF(OR(D43="Cash Deposit",D43="Wire In"),"In","Out")</f>
        <v>In</v>
      </c>
      <c r="K43" s="27" t="str">
        <f aca="false">IF(AND(I43="Y",E43&gt;=Assumptions!$B$6,E43&lt;=Assumptions!$B$5),"Y","N")</f>
        <v>N</v>
      </c>
      <c r="L43" s="27" t="n">
        <f aca="false">IFERROR(INDEX(Assumptions!$B$22:$B$39,MATCH(F43,Assumptions!$A$22:$A$39,0)),0)</f>
        <v>1</v>
      </c>
      <c r="M43" s="29" t="n">
        <f aca="false">IF(I43="Y",SUMIFS($E$2:$E$114,$C$2:$C$114,C43,$B$2:$B$114,B43,$I$2:$I$114,"Y",$J$2:$J$114,J43),0)</f>
        <v>0</v>
      </c>
      <c r="N43" s="27" t="str">
        <f aca="false">IF(M43&gt;Assumptions!$B$5,"CTR","")</f>
        <v/>
      </c>
      <c r="O43" s="27" t="str">
        <f aca="false">IFERROR(INDEX(Client_Master!$R$2:$R$41,MATCH(C43,Client_Master!$A$2:$A$41,0)),"No KYC record")</f>
        <v>Complete</v>
      </c>
    </row>
    <row r="44" customFormat="false" ht="15" hidden="false" customHeight="false" outlineLevel="0" collapsed="false">
      <c r="A44" s="27" t="s">
        <v>366</v>
      </c>
      <c r="B44" s="28" t="n">
        <v>46293</v>
      </c>
      <c r="C44" s="27" t="s">
        <v>227</v>
      </c>
      <c r="D44" s="27" t="s">
        <v>332</v>
      </c>
      <c r="E44" s="29" t="n">
        <v>4100</v>
      </c>
      <c r="F44" s="27" t="s">
        <v>148</v>
      </c>
      <c r="G44" s="27" t="s">
        <v>348</v>
      </c>
      <c r="H44" s="27" t="str">
        <f aca="false">IFERROR(INDEX(Client_Master!$B$2:$B$41,MATCH(C44,Client_Master!$A$2:$A$41,0)),"UNKNOWN CLIENT")</f>
        <v>Spice Route Restaurants Group Inc</v>
      </c>
      <c r="I44" s="27" t="str">
        <f aca="false">IF(LEFT(D44,4)="Cash","Y","N")</f>
        <v>Y</v>
      </c>
      <c r="J44" s="27" t="str">
        <f aca="false">IF(OR(D44="Cash Deposit",D44="Wire In"),"In","Out")</f>
        <v>In</v>
      </c>
      <c r="K44" s="27" t="str">
        <f aca="false">IF(AND(I44="Y",E44&gt;=Assumptions!$B$6,E44&lt;=Assumptions!$B$5),"Y","N")</f>
        <v>N</v>
      </c>
      <c r="L44" s="27" t="n">
        <f aca="false">IFERROR(INDEX(Assumptions!$B$22:$B$39,MATCH(F44,Assumptions!$A$22:$A$39,0)),0)</f>
        <v>0</v>
      </c>
      <c r="M44" s="29" t="n">
        <f aca="false">IF(I44="Y",SUMIFS($E$2:$E$114,$C$2:$C$114,C44,$B$2:$B$114,B44,$I$2:$I$114,"Y",$J$2:$J$114,J44),0)</f>
        <v>4100</v>
      </c>
      <c r="N44" s="27" t="str">
        <f aca="false">IF(M44&gt;Assumptions!$B$5,"CTR","")</f>
        <v/>
      </c>
      <c r="O44" s="27" t="str">
        <f aca="false">IFERROR(INDEX(Client_Master!$R$2:$R$41,MATCH(C44,Client_Master!$A$2:$A$41,0)),"No KYC record")</f>
        <v>Complete</v>
      </c>
    </row>
    <row r="45" customFormat="false" ht="15" hidden="false" customHeight="false" outlineLevel="0" collapsed="false">
      <c r="A45" s="27" t="s">
        <v>367</v>
      </c>
      <c r="B45" s="28" t="n">
        <v>46293</v>
      </c>
      <c r="C45" s="27" t="s">
        <v>239</v>
      </c>
      <c r="D45" s="27" t="s">
        <v>318</v>
      </c>
      <c r="E45" s="29" t="n">
        <v>32700</v>
      </c>
      <c r="F45" s="27" t="s">
        <v>152</v>
      </c>
      <c r="G45" s="27" t="s">
        <v>319</v>
      </c>
      <c r="H45" s="27" t="str">
        <f aca="false">IFERROR(INDEX(Client_Master!$B$2:$B$41,MATCH(C45,Client_Master!$A$2:$A$41,0)),"UNKNOWN CLIENT")</f>
        <v>Coral Reef Gaming Ltd</v>
      </c>
      <c r="I45" s="27" t="str">
        <f aca="false">IF(LEFT(D45,4)="Cash","Y","N")</f>
        <v>N</v>
      </c>
      <c r="J45" s="27" t="str">
        <f aca="false">IF(OR(D45="Cash Deposit",D45="Wire In"),"In","Out")</f>
        <v>Out</v>
      </c>
      <c r="K45" s="27" t="str">
        <f aca="false">IF(AND(I45="Y",E45&gt;=Assumptions!$B$6,E45&lt;=Assumptions!$B$5),"Y","N")</f>
        <v>N</v>
      </c>
      <c r="L45" s="27" t="n">
        <f aca="false">IFERROR(INDEX(Assumptions!$B$22:$B$39,MATCH(F45,Assumptions!$A$22:$A$39,0)),0)</f>
        <v>0</v>
      </c>
      <c r="M45" s="29" t="n">
        <f aca="false">IF(I45="Y",SUMIFS($E$2:$E$114,$C$2:$C$114,C45,$B$2:$B$114,B45,$I$2:$I$114,"Y",$J$2:$J$114,J45),0)</f>
        <v>0</v>
      </c>
      <c r="N45" s="27" t="str">
        <f aca="false">IF(M45&gt;Assumptions!$B$5,"CTR","")</f>
        <v/>
      </c>
      <c r="O45" s="27" t="str">
        <f aca="false">IFERROR(INDEX(Client_Master!$R$2:$R$41,MATCH(C45,Client_Master!$A$2:$A$41,0)),"No KYC record")</f>
        <v>Complete</v>
      </c>
    </row>
    <row r="46" customFormat="false" ht="15" hidden="false" customHeight="false" outlineLevel="0" collapsed="false">
      <c r="A46" s="27" t="s">
        <v>368</v>
      </c>
      <c r="B46" s="28" t="n">
        <v>46293</v>
      </c>
      <c r="C46" s="27" t="s">
        <v>267</v>
      </c>
      <c r="D46" s="27" t="s">
        <v>315</v>
      </c>
      <c r="E46" s="29" t="n">
        <v>13000</v>
      </c>
      <c r="F46" s="27" t="s">
        <v>169</v>
      </c>
      <c r="G46" s="27" t="s">
        <v>316</v>
      </c>
      <c r="H46" s="27" t="str">
        <f aca="false">IFERROR(INDEX(Client_Master!$B$2:$B$41,MATCH(C46,Client_Master!$A$2:$A$41,0)),"UNKNOWN CLIENT")</f>
        <v>Crescent Remit Services LLP</v>
      </c>
      <c r="I46" s="27" t="str">
        <f aca="false">IF(LEFT(D46,4)="Cash","Y","N")</f>
        <v>N</v>
      </c>
      <c r="J46" s="27" t="str">
        <f aca="false">IF(OR(D46="Cash Deposit",D46="Wire In"),"In","Out")</f>
        <v>In</v>
      </c>
      <c r="K46" s="27" t="str">
        <f aca="false">IF(AND(I46="Y",E46&gt;=Assumptions!$B$6,E46&lt;=Assumptions!$B$5),"Y","N")</f>
        <v>N</v>
      </c>
      <c r="L46" s="27" t="n">
        <f aca="false">IFERROR(INDEX(Assumptions!$B$22:$B$39,MATCH(F46,Assumptions!$A$22:$A$39,0)),0)</f>
        <v>1</v>
      </c>
      <c r="M46" s="29" t="n">
        <f aca="false">IF(I46="Y",SUMIFS($E$2:$E$114,$C$2:$C$114,C46,$B$2:$B$114,B46,$I$2:$I$114,"Y",$J$2:$J$114,J46),0)</f>
        <v>0</v>
      </c>
      <c r="N46" s="27" t="str">
        <f aca="false">IF(M46&gt;Assumptions!$B$5,"CTR","")</f>
        <v/>
      </c>
      <c r="O46" s="27" t="str">
        <f aca="false">IFERROR(INDEX(Client_Master!$R$2:$R$41,MATCH(C46,Client_Master!$A$2:$A$41,0)),"No KYC record")</f>
        <v>Complete</v>
      </c>
    </row>
    <row r="47" customFormat="false" ht="15" hidden="false" customHeight="false" outlineLevel="0" collapsed="false">
      <c r="A47" s="27" t="s">
        <v>369</v>
      </c>
      <c r="B47" s="28" t="n">
        <v>46293</v>
      </c>
      <c r="C47" s="27" t="s">
        <v>273</v>
      </c>
      <c r="D47" s="27" t="s">
        <v>318</v>
      </c>
      <c r="E47" s="29" t="n">
        <v>32100</v>
      </c>
      <c r="F47" s="27" t="s">
        <v>148</v>
      </c>
      <c r="G47" s="27" t="s">
        <v>319</v>
      </c>
      <c r="H47" s="27" t="str">
        <f aca="false">IFERROR(INDEX(Client_Master!$B$2:$B$41,MATCH(C47,Client_Master!$A$2:$A$41,0)),"UNKNOWN CLIENT")</f>
        <v>Zurich Wealth Advisory AG</v>
      </c>
      <c r="I47" s="27" t="str">
        <f aca="false">IF(LEFT(D47,4)="Cash","Y","N")</f>
        <v>N</v>
      </c>
      <c r="J47" s="27" t="str">
        <f aca="false">IF(OR(D47="Cash Deposit",D47="Wire In"),"In","Out")</f>
        <v>Out</v>
      </c>
      <c r="K47" s="27" t="str">
        <f aca="false">IF(AND(I47="Y",E47&gt;=Assumptions!$B$6,E47&lt;=Assumptions!$B$5),"Y","N")</f>
        <v>N</v>
      </c>
      <c r="L47" s="27" t="n">
        <f aca="false">IFERROR(INDEX(Assumptions!$B$22:$B$39,MATCH(F47,Assumptions!$A$22:$A$39,0)),0)</f>
        <v>0</v>
      </c>
      <c r="M47" s="29" t="n">
        <f aca="false">IF(I47="Y",SUMIFS($E$2:$E$114,$C$2:$C$114,C47,$B$2:$B$114,B47,$I$2:$I$114,"Y",$J$2:$J$114,J47),0)</f>
        <v>0</v>
      </c>
      <c r="N47" s="27" t="str">
        <f aca="false">IF(M47&gt;Assumptions!$B$5,"CTR","")</f>
        <v/>
      </c>
      <c r="O47" s="27" t="str">
        <f aca="false">IFERROR(INDEX(Client_Master!$R$2:$R$41,MATCH(C47,Client_Master!$A$2:$A$41,0)),"No KYC record")</f>
        <v>Complete</v>
      </c>
    </row>
    <row r="48" customFormat="false" ht="15" hidden="false" customHeight="false" outlineLevel="0" collapsed="false">
      <c r="A48" s="27" t="s">
        <v>370</v>
      </c>
      <c r="B48" s="28" t="n">
        <v>46293</v>
      </c>
      <c r="C48" s="27" t="s">
        <v>298</v>
      </c>
      <c r="D48" s="27" t="s">
        <v>318</v>
      </c>
      <c r="E48" s="29" t="n">
        <v>51500</v>
      </c>
      <c r="F48" s="27" t="s">
        <v>161</v>
      </c>
      <c r="G48" s="27" t="s">
        <v>319</v>
      </c>
      <c r="H48" s="27" t="str">
        <f aca="false">IFERROR(INDEX(Client_Master!$B$2:$B$41,MATCH(C48,Client_Master!$A$2:$A$41,0)),"UNKNOWN CLIENT")</f>
        <v>Orchid Textiles Pvt Ltd</v>
      </c>
      <c r="I48" s="27" t="str">
        <f aca="false">IF(LEFT(D48,4)="Cash","Y","N")</f>
        <v>N</v>
      </c>
      <c r="J48" s="27" t="str">
        <f aca="false">IF(OR(D48="Cash Deposit",D48="Wire In"),"In","Out")</f>
        <v>Out</v>
      </c>
      <c r="K48" s="27" t="str">
        <f aca="false">IF(AND(I48="Y",E48&gt;=Assumptions!$B$6,E48&lt;=Assumptions!$B$5),"Y","N")</f>
        <v>N</v>
      </c>
      <c r="L48" s="27" t="n">
        <f aca="false">IFERROR(INDEX(Assumptions!$B$22:$B$39,MATCH(F48,Assumptions!$A$22:$A$39,0)),0)</f>
        <v>0</v>
      </c>
      <c r="M48" s="29" t="n">
        <f aca="false">IF(I48="Y",SUMIFS($E$2:$E$114,$C$2:$C$114,C48,$B$2:$B$114,B48,$I$2:$I$114,"Y",$J$2:$J$114,J48),0)</f>
        <v>0</v>
      </c>
      <c r="N48" s="27" t="str">
        <f aca="false">IF(M48&gt;Assumptions!$B$5,"CTR","")</f>
        <v/>
      </c>
      <c r="O48" s="27" t="str">
        <f aca="false">IFERROR(INDEX(Client_Master!$R$2:$R$41,MATCH(C48,Client_Master!$A$2:$A$41,0)),"No KYC record")</f>
        <v>Complete</v>
      </c>
    </row>
    <row r="49" customFormat="false" ht="15" hidden="false" customHeight="false" outlineLevel="0" collapsed="false">
      <c r="A49" s="27" t="s">
        <v>371</v>
      </c>
      <c r="B49" s="28" t="n">
        <v>46294</v>
      </c>
      <c r="C49" s="27" t="s">
        <v>263</v>
      </c>
      <c r="D49" s="27" t="s">
        <v>315</v>
      </c>
      <c r="E49" s="29" t="n">
        <v>27200</v>
      </c>
      <c r="F49" s="27" t="s">
        <v>152</v>
      </c>
      <c r="G49" s="27" t="s">
        <v>316</v>
      </c>
      <c r="H49" s="27" t="str">
        <f aca="false">IFERROR(INDEX(Client_Master!$B$2:$B$41,MATCH(C49,Client_Master!$A$2:$A$41,0)),"UNKNOWN CLIENT")</f>
        <v>Cedar Hill Property Holdings Ltd</v>
      </c>
      <c r="I49" s="27" t="str">
        <f aca="false">IF(LEFT(D49,4)="Cash","Y","N")</f>
        <v>N</v>
      </c>
      <c r="J49" s="27" t="str">
        <f aca="false">IF(OR(D49="Cash Deposit",D49="Wire In"),"In","Out")</f>
        <v>In</v>
      </c>
      <c r="K49" s="27" t="str">
        <f aca="false">IF(AND(I49="Y",E49&gt;=Assumptions!$B$6,E49&lt;=Assumptions!$B$5),"Y","N")</f>
        <v>N</v>
      </c>
      <c r="L49" s="27" t="n">
        <f aca="false">IFERROR(INDEX(Assumptions!$B$22:$B$39,MATCH(F49,Assumptions!$A$22:$A$39,0)),0)</f>
        <v>0</v>
      </c>
      <c r="M49" s="29" t="n">
        <f aca="false">IF(I49="Y",SUMIFS($E$2:$E$114,$C$2:$C$114,C49,$B$2:$B$114,B49,$I$2:$I$114,"Y",$J$2:$J$114,J49),0)</f>
        <v>0</v>
      </c>
      <c r="N49" s="27" t="str">
        <f aca="false">IF(M49&gt;Assumptions!$B$5,"CTR","")</f>
        <v/>
      </c>
      <c r="O49" s="27" t="str">
        <f aca="false">IFERROR(INDEX(Client_Master!$R$2:$R$41,MATCH(C49,Client_Master!$A$2:$A$41,0)),"No KYC record")</f>
        <v>Complete</v>
      </c>
    </row>
    <row r="50" customFormat="false" ht="15" hidden="false" customHeight="false" outlineLevel="0" collapsed="false">
      <c r="A50" s="27" t="s">
        <v>372</v>
      </c>
      <c r="B50" s="28" t="n">
        <v>46294</v>
      </c>
      <c r="C50" s="27" t="s">
        <v>271</v>
      </c>
      <c r="D50" s="27" t="s">
        <v>318</v>
      </c>
      <c r="E50" s="29" t="n">
        <v>45000</v>
      </c>
      <c r="F50" s="27" t="s">
        <v>184</v>
      </c>
      <c r="G50" s="27" t="s">
        <v>373</v>
      </c>
      <c r="H50" s="27" t="str">
        <f aca="false">IFERROR(INDEX(Client_Master!$B$2:$B$41,MATCH(C50,Client_Master!$A$2:$A$41,0)),"UNKNOWN CLIENT")</f>
        <v>Irrawaddy Trade Links Ltd</v>
      </c>
      <c r="I50" s="27" t="str">
        <f aca="false">IF(LEFT(D50,4)="Cash","Y","N")</f>
        <v>N</v>
      </c>
      <c r="J50" s="27" t="str">
        <f aca="false">IF(OR(D50="Cash Deposit",D50="Wire In"),"In","Out")</f>
        <v>Out</v>
      </c>
      <c r="K50" s="27" t="str">
        <f aca="false">IF(AND(I50="Y",E50&gt;=Assumptions!$B$6,E50&lt;=Assumptions!$B$5),"Y","N")</f>
        <v>N</v>
      </c>
      <c r="L50" s="27" t="n">
        <f aca="false">IFERROR(INDEX(Assumptions!$B$22:$B$39,MATCH(F50,Assumptions!$A$22:$A$39,0)),0)</f>
        <v>3</v>
      </c>
      <c r="M50" s="29" t="n">
        <f aca="false">IF(I50="Y",SUMIFS($E$2:$E$114,$C$2:$C$114,C50,$B$2:$B$114,B50,$I$2:$I$114,"Y",$J$2:$J$114,J50),0)</f>
        <v>0</v>
      </c>
      <c r="N50" s="27" t="str">
        <f aca="false">IF(M50&gt;Assumptions!$B$5,"CTR","")</f>
        <v/>
      </c>
      <c r="O50" s="27" t="str">
        <f aca="false">IFERROR(INDEX(Client_Master!$R$2:$R$41,MATCH(C50,Client_Master!$A$2:$A$41,0)),"No KYC record")</f>
        <v>Complete</v>
      </c>
    </row>
    <row r="51" customFormat="false" ht="15" hidden="false" customHeight="false" outlineLevel="0" collapsed="false">
      <c r="A51" s="27" t="s">
        <v>374</v>
      </c>
      <c r="B51" s="28" t="n">
        <v>46294</v>
      </c>
      <c r="C51" s="27" t="s">
        <v>282</v>
      </c>
      <c r="D51" s="27" t="s">
        <v>315</v>
      </c>
      <c r="E51" s="29" t="n">
        <v>60900</v>
      </c>
      <c r="F51" s="27" t="s">
        <v>148</v>
      </c>
      <c r="G51" s="27" t="s">
        <v>316</v>
      </c>
      <c r="H51" s="27" t="str">
        <f aca="false">IFERROR(INDEX(Client_Master!$B$2:$B$41,MATCH(C51,Client_Master!$A$2:$A$41,0)),"UNKNOWN CLIENT")</f>
        <v>Lakeview Medical Supplies Inc</v>
      </c>
      <c r="I51" s="27" t="str">
        <f aca="false">IF(LEFT(D51,4)="Cash","Y","N")</f>
        <v>N</v>
      </c>
      <c r="J51" s="27" t="str">
        <f aca="false">IF(OR(D51="Cash Deposit",D51="Wire In"),"In","Out")</f>
        <v>In</v>
      </c>
      <c r="K51" s="27" t="str">
        <f aca="false">IF(AND(I51="Y",E51&gt;=Assumptions!$B$6,E51&lt;=Assumptions!$B$5),"Y","N")</f>
        <v>N</v>
      </c>
      <c r="L51" s="27" t="n">
        <f aca="false">IFERROR(INDEX(Assumptions!$B$22:$B$39,MATCH(F51,Assumptions!$A$22:$A$39,0)),0)</f>
        <v>0</v>
      </c>
      <c r="M51" s="29" t="n">
        <f aca="false">IF(I51="Y",SUMIFS($E$2:$E$114,$C$2:$C$114,C51,$B$2:$B$114,B51,$I$2:$I$114,"Y",$J$2:$J$114,J51),0)</f>
        <v>0</v>
      </c>
      <c r="N51" s="27" t="str">
        <f aca="false">IF(M51&gt;Assumptions!$B$5,"CTR","")</f>
        <v/>
      </c>
      <c r="O51" s="27" t="str">
        <f aca="false">IFERROR(INDEX(Client_Master!$R$2:$R$41,MATCH(C51,Client_Master!$A$2:$A$41,0)),"No KYC record")</f>
        <v>Incomplete - Docs</v>
      </c>
    </row>
    <row r="52" customFormat="false" ht="15" hidden="false" customHeight="false" outlineLevel="0" collapsed="false">
      <c r="A52" s="27" t="s">
        <v>375</v>
      </c>
      <c r="B52" s="28" t="n">
        <v>46295</v>
      </c>
      <c r="C52" s="27" t="s">
        <v>241</v>
      </c>
      <c r="D52" s="27" t="s">
        <v>332</v>
      </c>
      <c r="E52" s="29" t="n">
        <v>5200</v>
      </c>
      <c r="F52" s="27" t="s">
        <v>148</v>
      </c>
      <c r="G52" s="27" t="s">
        <v>336</v>
      </c>
      <c r="H52" s="27" t="str">
        <f aca="false">IFERROR(INDEX(Client_Master!$B$2:$B$41,MATCH(C52,Client_Master!$A$2:$A$41,0)),"UNKNOWN CLIENT")</f>
        <v>Brightline Retail Holdings Inc</v>
      </c>
      <c r="I52" s="27" t="str">
        <f aca="false">IF(LEFT(D52,4)="Cash","Y","N")</f>
        <v>Y</v>
      </c>
      <c r="J52" s="27" t="str">
        <f aca="false">IF(OR(D52="Cash Deposit",D52="Wire In"),"In","Out")</f>
        <v>In</v>
      </c>
      <c r="K52" s="27" t="str">
        <f aca="false">IF(AND(I52="Y",E52&gt;=Assumptions!$B$6,E52&lt;=Assumptions!$B$5),"Y","N")</f>
        <v>N</v>
      </c>
      <c r="L52" s="27" t="n">
        <f aca="false">IFERROR(INDEX(Assumptions!$B$22:$B$39,MATCH(F52,Assumptions!$A$22:$A$39,0)),0)</f>
        <v>0</v>
      </c>
      <c r="M52" s="29" t="n">
        <f aca="false">IF(I52="Y",SUMIFS($E$2:$E$114,$C$2:$C$114,C52,$B$2:$B$114,B52,$I$2:$I$114,"Y",$J$2:$J$114,J52),0)</f>
        <v>5200</v>
      </c>
      <c r="N52" s="27" t="str">
        <f aca="false">IF(M52&gt;Assumptions!$B$5,"CTR","")</f>
        <v/>
      </c>
      <c r="O52" s="27" t="str">
        <f aca="false">IFERROR(INDEX(Client_Master!$R$2:$R$41,MATCH(C52,Client_Master!$A$2:$A$41,0)),"No KYC record")</f>
        <v>Complete</v>
      </c>
    </row>
    <row r="53" customFormat="false" ht="15" hidden="false" customHeight="false" outlineLevel="0" collapsed="false">
      <c r="A53" s="27" t="s">
        <v>376</v>
      </c>
      <c r="B53" s="28" t="n">
        <v>46295</v>
      </c>
      <c r="C53" s="27" t="s">
        <v>273</v>
      </c>
      <c r="D53" s="27" t="s">
        <v>318</v>
      </c>
      <c r="E53" s="29" t="n">
        <v>66800</v>
      </c>
      <c r="F53" s="27" t="s">
        <v>152</v>
      </c>
      <c r="G53" s="27" t="s">
        <v>319</v>
      </c>
      <c r="H53" s="27" t="str">
        <f aca="false">IFERROR(INDEX(Client_Master!$B$2:$B$41,MATCH(C53,Client_Master!$A$2:$A$41,0)),"UNKNOWN CLIENT")</f>
        <v>Zurich Wealth Advisory AG</v>
      </c>
      <c r="I53" s="27" t="str">
        <f aca="false">IF(LEFT(D53,4)="Cash","Y","N")</f>
        <v>N</v>
      </c>
      <c r="J53" s="27" t="str">
        <f aca="false">IF(OR(D53="Cash Deposit",D53="Wire In"),"In","Out")</f>
        <v>Out</v>
      </c>
      <c r="K53" s="27" t="str">
        <f aca="false">IF(AND(I53="Y",E53&gt;=Assumptions!$B$6,E53&lt;=Assumptions!$B$5),"Y","N")</f>
        <v>N</v>
      </c>
      <c r="L53" s="27" t="n">
        <f aca="false">IFERROR(INDEX(Assumptions!$B$22:$B$39,MATCH(F53,Assumptions!$A$22:$A$39,0)),0)</f>
        <v>0</v>
      </c>
      <c r="M53" s="29" t="n">
        <f aca="false">IF(I53="Y",SUMIFS($E$2:$E$114,$C$2:$C$114,C53,$B$2:$B$114,B53,$I$2:$I$114,"Y",$J$2:$J$114,J53),0)</f>
        <v>0</v>
      </c>
      <c r="N53" s="27" t="str">
        <f aca="false">IF(M53&gt;Assumptions!$B$5,"CTR","")</f>
        <v/>
      </c>
      <c r="O53" s="27" t="str">
        <f aca="false">IFERROR(INDEX(Client_Master!$R$2:$R$41,MATCH(C53,Client_Master!$A$2:$A$41,0)),"No KYC record")</f>
        <v>Complete</v>
      </c>
    </row>
    <row r="54" customFormat="false" ht="15" hidden="false" customHeight="false" outlineLevel="0" collapsed="false">
      <c r="A54" s="27" t="s">
        <v>377</v>
      </c>
      <c r="B54" s="28" t="n">
        <v>46295</v>
      </c>
      <c r="C54" s="27" t="s">
        <v>286</v>
      </c>
      <c r="D54" s="27" t="s">
        <v>315</v>
      </c>
      <c r="E54" s="29" t="n">
        <v>36900</v>
      </c>
      <c r="F54" s="27" t="s">
        <v>167</v>
      </c>
      <c r="G54" s="27" t="s">
        <v>316</v>
      </c>
      <c r="H54" s="27" t="str">
        <f aca="false">IFERROR(INDEX(Client_Master!$B$2:$B$41,MATCH(C54,Client_Master!$A$2:$A$41,0)),"UNKNOWN CLIENT")</f>
        <v>Granite Peak Mining Services Ltd</v>
      </c>
      <c r="I54" s="27" t="str">
        <f aca="false">IF(LEFT(D54,4)="Cash","Y","N")</f>
        <v>N</v>
      </c>
      <c r="J54" s="27" t="str">
        <f aca="false">IF(OR(D54="Cash Deposit",D54="Wire In"),"In","Out")</f>
        <v>In</v>
      </c>
      <c r="K54" s="27" t="str">
        <f aca="false">IF(AND(I54="Y",E54&gt;=Assumptions!$B$6,E54&lt;=Assumptions!$B$5),"Y","N")</f>
        <v>N</v>
      </c>
      <c r="L54" s="27" t="n">
        <f aca="false">IFERROR(INDEX(Assumptions!$B$22:$B$39,MATCH(F54,Assumptions!$A$22:$A$39,0)),0)</f>
        <v>0</v>
      </c>
      <c r="M54" s="29" t="n">
        <f aca="false">IF(I54="Y",SUMIFS($E$2:$E$114,$C$2:$C$114,C54,$B$2:$B$114,B54,$I$2:$I$114,"Y",$J$2:$J$114,J54),0)</f>
        <v>0</v>
      </c>
      <c r="N54" s="27" t="str">
        <f aca="false">IF(M54&gt;Assumptions!$B$5,"CTR","")</f>
        <v/>
      </c>
      <c r="O54" s="27" t="str">
        <f aca="false">IFERROR(INDEX(Client_Master!$R$2:$R$41,MATCH(C54,Client_Master!$A$2:$A$41,0)),"No KYC record")</f>
        <v>Complete</v>
      </c>
    </row>
    <row r="55" customFormat="false" ht="15" hidden="false" customHeight="false" outlineLevel="0" collapsed="false">
      <c r="A55" s="27" t="s">
        <v>378</v>
      </c>
      <c r="B55" s="28" t="n">
        <v>46296</v>
      </c>
      <c r="C55" s="27" t="s">
        <v>235</v>
      </c>
      <c r="D55" s="27" t="s">
        <v>315</v>
      </c>
      <c r="E55" s="29" t="n">
        <v>5400</v>
      </c>
      <c r="F55" s="27" t="s">
        <v>167</v>
      </c>
      <c r="G55" s="27" t="s">
        <v>316</v>
      </c>
      <c r="H55" s="27" t="str">
        <f aca="false">IFERROR(INDEX(Client_Master!$B$2:$B$41,MATCH(C55,Client_Master!$A$2:$A$41,0)),"UNKNOWN CLIENT")</f>
        <v>Pinnacle Realty Developers Ltd</v>
      </c>
      <c r="I55" s="27" t="str">
        <f aca="false">IF(LEFT(D55,4)="Cash","Y","N")</f>
        <v>N</v>
      </c>
      <c r="J55" s="27" t="str">
        <f aca="false">IF(OR(D55="Cash Deposit",D55="Wire In"),"In","Out")</f>
        <v>In</v>
      </c>
      <c r="K55" s="27" t="str">
        <f aca="false">IF(AND(I55="Y",E55&gt;=Assumptions!$B$6,E55&lt;=Assumptions!$B$5),"Y","N")</f>
        <v>N</v>
      </c>
      <c r="L55" s="27" t="n">
        <f aca="false">IFERROR(INDEX(Assumptions!$B$22:$B$39,MATCH(F55,Assumptions!$A$22:$A$39,0)),0)</f>
        <v>0</v>
      </c>
      <c r="M55" s="29" t="n">
        <f aca="false">IF(I55="Y",SUMIFS($E$2:$E$114,$C$2:$C$114,C55,$B$2:$B$114,B55,$I$2:$I$114,"Y",$J$2:$J$114,J55),0)</f>
        <v>0</v>
      </c>
      <c r="N55" s="27" t="str">
        <f aca="false">IF(M55&gt;Assumptions!$B$5,"CTR","")</f>
        <v/>
      </c>
      <c r="O55" s="27" t="str">
        <f aca="false">IFERROR(INDEX(Client_Master!$R$2:$R$41,MATCH(C55,Client_Master!$A$2:$A$41,0)),"No KYC record")</f>
        <v>Complete</v>
      </c>
    </row>
    <row r="56" customFormat="false" ht="15" hidden="false" customHeight="false" outlineLevel="0" collapsed="false">
      <c r="A56" s="27" t="s">
        <v>379</v>
      </c>
      <c r="B56" s="28" t="n">
        <v>46296</v>
      </c>
      <c r="C56" s="27" t="s">
        <v>247</v>
      </c>
      <c r="D56" s="27" t="s">
        <v>315</v>
      </c>
      <c r="E56" s="29" t="n">
        <v>150000</v>
      </c>
      <c r="F56" s="27" t="s">
        <v>152</v>
      </c>
      <c r="G56" s="27" t="s">
        <v>380</v>
      </c>
      <c r="H56" s="27" t="str">
        <f aca="false">IFERROR(INDEX(Client_Master!$B$2:$B$41,MATCH(C56,Client_Master!$A$2:$A$41,0)),"UNKNOWN CLIENT")</f>
        <v>Hollis Capital Partners LLP</v>
      </c>
      <c r="I56" s="27" t="str">
        <f aca="false">IF(LEFT(D56,4)="Cash","Y","N")</f>
        <v>N</v>
      </c>
      <c r="J56" s="27" t="str">
        <f aca="false">IF(OR(D56="Cash Deposit",D56="Wire In"),"In","Out")</f>
        <v>In</v>
      </c>
      <c r="K56" s="27" t="str">
        <f aca="false">IF(AND(I56="Y",E56&gt;=Assumptions!$B$6,E56&lt;=Assumptions!$B$5),"Y","N")</f>
        <v>N</v>
      </c>
      <c r="L56" s="27" t="n">
        <f aca="false">IFERROR(INDEX(Assumptions!$B$22:$B$39,MATCH(F56,Assumptions!$A$22:$A$39,0)),0)</f>
        <v>0</v>
      </c>
      <c r="M56" s="29" t="n">
        <f aca="false">IF(I56="Y",SUMIFS($E$2:$E$114,$C$2:$C$114,C56,$B$2:$B$114,B56,$I$2:$I$114,"Y",$J$2:$J$114,J56),0)</f>
        <v>0</v>
      </c>
      <c r="N56" s="27" t="str">
        <f aca="false">IF(M56&gt;Assumptions!$B$5,"CTR","")</f>
        <v/>
      </c>
      <c r="O56" s="27" t="str">
        <f aca="false">IFERROR(INDEX(Client_Master!$R$2:$R$41,MATCH(C56,Client_Master!$A$2:$A$41,0)),"No KYC record")</f>
        <v>Complete</v>
      </c>
    </row>
    <row r="57" customFormat="false" ht="15" hidden="false" customHeight="false" outlineLevel="0" collapsed="false">
      <c r="A57" s="27" t="s">
        <v>381</v>
      </c>
      <c r="B57" s="28" t="n">
        <v>46296</v>
      </c>
      <c r="C57" s="27" t="s">
        <v>257</v>
      </c>
      <c r="D57" s="27" t="s">
        <v>315</v>
      </c>
      <c r="E57" s="29" t="n">
        <v>14300</v>
      </c>
      <c r="F57" s="27" t="s">
        <v>161</v>
      </c>
      <c r="G57" s="27" t="s">
        <v>316</v>
      </c>
      <c r="H57" s="27" t="str">
        <f aca="false">IFERROR(INDEX(Client_Master!$B$2:$B$41,MATCH(C57,Client_Master!$A$2:$A$41,0)),"UNKNOWN CLIENT")</f>
        <v>Rhine Valley Pharma GmbH</v>
      </c>
      <c r="I57" s="27" t="str">
        <f aca="false">IF(LEFT(D57,4)="Cash","Y","N")</f>
        <v>N</v>
      </c>
      <c r="J57" s="27" t="str">
        <f aca="false">IF(OR(D57="Cash Deposit",D57="Wire In"),"In","Out")</f>
        <v>In</v>
      </c>
      <c r="K57" s="27" t="str">
        <f aca="false">IF(AND(I57="Y",E57&gt;=Assumptions!$B$6,E57&lt;=Assumptions!$B$5),"Y","N")</f>
        <v>N</v>
      </c>
      <c r="L57" s="27" t="n">
        <f aca="false">IFERROR(INDEX(Assumptions!$B$22:$B$39,MATCH(F57,Assumptions!$A$22:$A$39,0)),0)</f>
        <v>0</v>
      </c>
      <c r="M57" s="29" t="n">
        <f aca="false">IF(I57="Y",SUMIFS($E$2:$E$114,$C$2:$C$114,C57,$B$2:$B$114,B57,$I$2:$I$114,"Y",$J$2:$J$114,J57),0)</f>
        <v>0</v>
      </c>
      <c r="N57" s="27" t="str">
        <f aca="false">IF(M57&gt;Assumptions!$B$5,"CTR","")</f>
        <v/>
      </c>
      <c r="O57" s="27" t="str">
        <f aca="false">IFERROR(INDEX(Client_Master!$R$2:$R$41,MATCH(C57,Client_Master!$A$2:$A$41,0)),"No KYC record")</f>
        <v>Complete</v>
      </c>
    </row>
    <row r="58" customFormat="false" ht="15" hidden="false" customHeight="false" outlineLevel="0" collapsed="false">
      <c r="A58" s="27" t="s">
        <v>382</v>
      </c>
      <c r="B58" s="28" t="n">
        <v>46296</v>
      </c>
      <c r="C58" s="27" t="s">
        <v>259</v>
      </c>
      <c r="D58" s="27" t="s">
        <v>315</v>
      </c>
      <c r="E58" s="29" t="n">
        <v>59900</v>
      </c>
      <c r="F58" s="27" t="s">
        <v>152</v>
      </c>
      <c r="G58" s="27" t="s">
        <v>316</v>
      </c>
      <c r="H58" s="27" t="str">
        <f aca="false">IFERROR(INDEX(Client_Master!$B$2:$B$41,MATCH(C58,Client_Master!$A$2:$A$41,0)),"UNKNOWN CLIENT")</f>
        <v>Kestrel Engineering Services Pte Ltd</v>
      </c>
      <c r="I58" s="27" t="str">
        <f aca="false">IF(LEFT(D58,4)="Cash","Y","N")</f>
        <v>N</v>
      </c>
      <c r="J58" s="27" t="str">
        <f aca="false">IF(OR(D58="Cash Deposit",D58="Wire In"),"In","Out")</f>
        <v>In</v>
      </c>
      <c r="K58" s="27" t="str">
        <f aca="false">IF(AND(I58="Y",E58&gt;=Assumptions!$B$6,E58&lt;=Assumptions!$B$5),"Y","N")</f>
        <v>N</v>
      </c>
      <c r="L58" s="27" t="n">
        <f aca="false">IFERROR(INDEX(Assumptions!$B$22:$B$39,MATCH(F58,Assumptions!$A$22:$A$39,0)),0)</f>
        <v>0</v>
      </c>
      <c r="M58" s="29" t="n">
        <f aca="false">IF(I58="Y",SUMIFS($E$2:$E$114,$C$2:$C$114,C58,$B$2:$B$114,B58,$I$2:$I$114,"Y",$J$2:$J$114,J58),0)</f>
        <v>0</v>
      </c>
      <c r="N58" s="27" t="str">
        <f aca="false">IF(M58&gt;Assumptions!$B$5,"CTR","")</f>
        <v/>
      </c>
      <c r="O58" s="27" t="str">
        <f aca="false">IFERROR(INDEX(Client_Master!$R$2:$R$41,MATCH(C58,Client_Master!$A$2:$A$41,0)),"No KYC record")</f>
        <v>Complete</v>
      </c>
    </row>
    <row r="59" customFormat="false" ht="15" hidden="false" customHeight="false" outlineLevel="0" collapsed="false">
      <c r="A59" s="27" t="s">
        <v>383</v>
      </c>
      <c r="B59" s="28" t="n">
        <v>46296</v>
      </c>
      <c r="C59" s="27" t="s">
        <v>291</v>
      </c>
      <c r="D59" s="27" t="s">
        <v>318</v>
      </c>
      <c r="E59" s="29" t="n">
        <v>72600</v>
      </c>
      <c r="F59" s="27" t="s">
        <v>155</v>
      </c>
      <c r="G59" s="27" t="s">
        <v>319</v>
      </c>
      <c r="H59" s="27" t="str">
        <f aca="false">IFERROR(INDEX(Client_Master!$B$2:$B$41,MATCH(C59,Client_Master!$A$2:$A$41,0)),"UNKNOWN CLIENT")</f>
        <v>Emerald Isle Software Ltd</v>
      </c>
      <c r="I59" s="27" t="str">
        <f aca="false">IF(LEFT(D59,4)="Cash","Y","N")</f>
        <v>N</v>
      </c>
      <c r="J59" s="27" t="str">
        <f aca="false">IF(OR(D59="Cash Deposit",D59="Wire In"),"In","Out")</f>
        <v>Out</v>
      </c>
      <c r="K59" s="27" t="str">
        <f aca="false">IF(AND(I59="Y",E59&gt;=Assumptions!$B$6,E59&lt;=Assumptions!$B$5),"Y","N")</f>
        <v>N</v>
      </c>
      <c r="L59" s="27" t="n">
        <f aca="false">IFERROR(INDEX(Assumptions!$B$22:$B$39,MATCH(F59,Assumptions!$A$22:$A$39,0)),0)</f>
        <v>0</v>
      </c>
      <c r="M59" s="29" t="n">
        <f aca="false">IF(I59="Y",SUMIFS($E$2:$E$114,$C$2:$C$114,C59,$B$2:$B$114,B59,$I$2:$I$114,"Y",$J$2:$J$114,J59),0)</f>
        <v>0</v>
      </c>
      <c r="N59" s="27" t="str">
        <f aca="false">IF(M59&gt;Assumptions!$B$5,"CTR","")</f>
        <v/>
      </c>
      <c r="O59" s="27" t="str">
        <f aca="false">IFERROR(INDEX(Client_Master!$R$2:$R$41,MATCH(C59,Client_Master!$A$2:$A$41,0)),"No KYC record")</f>
        <v>Complete</v>
      </c>
    </row>
    <row r="60" customFormat="false" ht="15" hidden="false" customHeight="false" outlineLevel="0" collapsed="false">
      <c r="A60" s="27" t="s">
        <v>384</v>
      </c>
      <c r="B60" s="28" t="n">
        <v>46297</v>
      </c>
      <c r="C60" s="27" t="s">
        <v>261</v>
      </c>
      <c r="D60" s="27" t="s">
        <v>315</v>
      </c>
      <c r="E60" s="29" t="n">
        <v>250000</v>
      </c>
      <c r="F60" s="27" t="s">
        <v>148</v>
      </c>
      <c r="G60" s="27" t="s">
        <v>316</v>
      </c>
      <c r="H60" s="27" t="str">
        <f aca="false">IFERROR(INDEX(Client_Master!$B$2:$B$41,MATCH(C60,Client_Master!$A$2:$A$41,0)),"UNKNOWN CLIENT")</f>
        <v>Vantage Commodities Trading FZE</v>
      </c>
      <c r="I60" s="27" t="str">
        <f aca="false">IF(LEFT(D60,4)="Cash","Y","N")</f>
        <v>N</v>
      </c>
      <c r="J60" s="27" t="str">
        <f aca="false">IF(OR(D60="Cash Deposit",D60="Wire In"),"In","Out")</f>
        <v>In</v>
      </c>
      <c r="K60" s="27" t="str">
        <f aca="false">IF(AND(I60="Y",E60&gt;=Assumptions!$B$6,E60&lt;=Assumptions!$B$5),"Y","N")</f>
        <v>N</v>
      </c>
      <c r="L60" s="27" t="n">
        <f aca="false">IFERROR(INDEX(Assumptions!$B$22:$B$39,MATCH(F60,Assumptions!$A$22:$A$39,0)),0)</f>
        <v>0</v>
      </c>
      <c r="M60" s="29" t="n">
        <f aca="false">IF(I60="Y",SUMIFS($E$2:$E$114,$C$2:$C$114,C60,$B$2:$B$114,B60,$I$2:$I$114,"Y",$J$2:$J$114,J60),0)</f>
        <v>0</v>
      </c>
      <c r="N60" s="27" t="str">
        <f aca="false">IF(M60&gt;Assumptions!$B$5,"CTR","")</f>
        <v/>
      </c>
      <c r="O60" s="27" t="str">
        <f aca="false">IFERROR(INDEX(Client_Master!$R$2:$R$41,MATCH(C60,Client_Master!$A$2:$A$41,0)),"No KYC record")</f>
        <v>Complete</v>
      </c>
    </row>
    <row r="61" customFormat="false" ht="15" hidden="false" customHeight="false" outlineLevel="0" collapsed="false">
      <c r="A61" s="27" t="s">
        <v>385</v>
      </c>
      <c r="B61" s="28" t="n">
        <v>46297</v>
      </c>
      <c r="C61" s="27" t="s">
        <v>269</v>
      </c>
      <c r="D61" s="27" t="s">
        <v>318</v>
      </c>
      <c r="E61" s="29" t="n">
        <v>38100</v>
      </c>
      <c r="F61" s="27" t="s">
        <v>163</v>
      </c>
      <c r="G61" s="27" t="s">
        <v>319</v>
      </c>
      <c r="H61" s="27" t="str">
        <f aca="false">IFERROR(INDEX(Client_Master!$B$2:$B$41,MATCH(C61,Client_Master!$A$2:$A$41,0)),"UNKNOWN CLIENT")</f>
        <v>Palm Bay Casino Resorts</v>
      </c>
      <c r="I61" s="27" t="str">
        <f aca="false">IF(LEFT(D61,4)="Cash","Y","N")</f>
        <v>N</v>
      </c>
      <c r="J61" s="27" t="str">
        <f aca="false">IF(OR(D61="Cash Deposit",D61="Wire In"),"In","Out")</f>
        <v>Out</v>
      </c>
      <c r="K61" s="27" t="str">
        <f aca="false">IF(AND(I61="Y",E61&gt;=Assumptions!$B$6,E61&lt;=Assumptions!$B$5),"Y","N")</f>
        <v>N</v>
      </c>
      <c r="L61" s="27" t="n">
        <f aca="false">IFERROR(INDEX(Assumptions!$B$22:$B$39,MATCH(F61,Assumptions!$A$22:$A$39,0)),0)</f>
        <v>0</v>
      </c>
      <c r="M61" s="29" t="n">
        <f aca="false">IF(I61="Y",SUMIFS($E$2:$E$114,$C$2:$C$114,C61,$B$2:$B$114,B61,$I$2:$I$114,"Y",$J$2:$J$114,J61),0)</f>
        <v>0</v>
      </c>
      <c r="N61" s="27" t="str">
        <f aca="false">IF(M61&gt;Assumptions!$B$5,"CTR","")</f>
        <v/>
      </c>
      <c r="O61" s="27" t="str">
        <f aca="false">IFERROR(INDEX(Client_Master!$R$2:$R$41,MATCH(C61,Client_Master!$A$2:$A$41,0)),"No KYC record")</f>
        <v>Complete</v>
      </c>
    </row>
    <row r="62" customFormat="false" ht="15" hidden="false" customHeight="false" outlineLevel="0" collapsed="false">
      <c r="A62" s="27" t="s">
        <v>386</v>
      </c>
      <c r="B62" s="28" t="n">
        <v>46297</v>
      </c>
      <c r="C62" s="27" t="s">
        <v>286</v>
      </c>
      <c r="D62" s="27" t="s">
        <v>315</v>
      </c>
      <c r="E62" s="29" t="n">
        <v>52700</v>
      </c>
      <c r="F62" s="27" t="s">
        <v>161</v>
      </c>
      <c r="G62" s="27" t="s">
        <v>316</v>
      </c>
      <c r="H62" s="27" t="str">
        <f aca="false">IFERROR(INDEX(Client_Master!$B$2:$B$41,MATCH(C62,Client_Master!$A$2:$A$41,0)),"UNKNOWN CLIENT")</f>
        <v>Granite Peak Mining Services Ltd</v>
      </c>
      <c r="I62" s="27" t="str">
        <f aca="false">IF(LEFT(D62,4)="Cash","Y","N")</f>
        <v>N</v>
      </c>
      <c r="J62" s="27" t="str">
        <f aca="false">IF(OR(D62="Cash Deposit",D62="Wire In"),"In","Out")</f>
        <v>In</v>
      </c>
      <c r="K62" s="27" t="str">
        <f aca="false">IF(AND(I62="Y",E62&gt;=Assumptions!$B$6,E62&lt;=Assumptions!$B$5),"Y","N")</f>
        <v>N</v>
      </c>
      <c r="L62" s="27" t="n">
        <f aca="false">IFERROR(INDEX(Assumptions!$B$22:$B$39,MATCH(F62,Assumptions!$A$22:$A$39,0)),0)</f>
        <v>0</v>
      </c>
      <c r="M62" s="29" t="n">
        <f aca="false">IF(I62="Y",SUMIFS($E$2:$E$114,$C$2:$C$114,C62,$B$2:$B$114,B62,$I$2:$I$114,"Y",$J$2:$J$114,J62),0)</f>
        <v>0</v>
      </c>
      <c r="N62" s="27" t="str">
        <f aca="false">IF(M62&gt;Assumptions!$B$5,"CTR","")</f>
        <v/>
      </c>
      <c r="O62" s="27" t="str">
        <f aca="false">IFERROR(INDEX(Client_Master!$R$2:$R$41,MATCH(C62,Client_Master!$A$2:$A$41,0)),"No KYC record")</f>
        <v>Complete</v>
      </c>
    </row>
    <row r="63" customFormat="false" ht="15" hidden="false" customHeight="false" outlineLevel="0" collapsed="false">
      <c r="A63" s="27" t="s">
        <v>387</v>
      </c>
      <c r="B63" s="28" t="n">
        <v>46300</v>
      </c>
      <c r="C63" s="27" t="s">
        <v>227</v>
      </c>
      <c r="D63" s="27" t="s">
        <v>332</v>
      </c>
      <c r="E63" s="29" t="n">
        <v>6200</v>
      </c>
      <c r="F63" s="27" t="s">
        <v>148</v>
      </c>
      <c r="G63" s="27" t="s">
        <v>388</v>
      </c>
      <c r="H63" s="27" t="str">
        <f aca="false">IFERROR(INDEX(Client_Master!$B$2:$B$41,MATCH(C63,Client_Master!$A$2:$A$41,0)),"UNKNOWN CLIENT")</f>
        <v>Spice Route Restaurants Group Inc</v>
      </c>
      <c r="I63" s="27" t="str">
        <f aca="false">IF(LEFT(D63,4)="Cash","Y","N")</f>
        <v>Y</v>
      </c>
      <c r="J63" s="27" t="str">
        <f aca="false">IF(OR(D63="Cash Deposit",D63="Wire In"),"In","Out")</f>
        <v>In</v>
      </c>
      <c r="K63" s="27" t="str">
        <f aca="false">IF(AND(I63="Y",E63&gt;=Assumptions!$B$6,E63&lt;=Assumptions!$B$5),"Y","N")</f>
        <v>N</v>
      </c>
      <c r="L63" s="27" t="n">
        <f aca="false">IFERROR(INDEX(Assumptions!$B$22:$B$39,MATCH(F63,Assumptions!$A$22:$A$39,0)),0)</f>
        <v>0</v>
      </c>
      <c r="M63" s="29" t="n">
        <f aca="false">IF(I63="Y",SUMIFS($E$2:$E$114,$C$2:$C$114,C63,$B$2:$B$114,B63,$I$2:$I$114,"Y",$J$2:$J$114,J63),0)</f>
        <v>11300</v>
      </c>
      <c r="N63" s="27" t="str">
        <f aca="false">IF(M63&gt;Assumptions!$B$5,"CTR","")</f>
        <v>CTR</v>
      </c>
      <c r="O63" s="27" t="str">
        <f aca="false">IFERROR(INDEX(Client_Master!$R$2:$R$41,MATCH(C63,Client_Master!$A$2:$A$41,0)),"No KYC record")</f>
        <v>Complete</v>
      </c>
    </row>
    <row r="64" customFormat="false" ht="15" hidden="false" customHeight="false" outlineLevel="0" collapsed="false">
      <c r="A64" s="27" t="s">
        <v>389</v>
      </c>
      <c r="B64" s="28" t="n">
        <v>46300</v>
      </c>
      <c r="C64" s="27" t="s">
        <v>227</v>
      </c>
      <c r="D64" s="27" t="s">
        <v>332</v>
      </c>
      <c r="E64" s="29" t="n">
        <v>5100</v>
      </c>
      <c r="F64" s="27" t="s">
        <v>148</v>
      </c>
      <c r="G64" s="27" t="s">
        <v>390</v>
      </c>
      <c r="H64" s="27" t="str">
        <f aca="false">IFERROR(INDEX(Client_Master!$B$2:$B$41,MATCH(C64,Client_Master!$A$2:$A$41,0)),"UNKNOWN CLIENT")</f>
        <v>Spice Route Restaurants Group Inc</v>
      </c>
      <c r="I64" s="27" t="str">
        <f aca="false">IF(LEFT(D64,4)="Cash","Y","N")</f>
        <v>Y</v>
      </c>
      <c r="J64" s="27" t="str">
        <f aca="false">IF(OR(D64="Cash Deposit",D64="Wire In"),"In","Out")</f>
        <v>In</v>
      </c>
      <c r="K64" s="27" t="str">
        <f aca="false">IF(AND(I64="Y",E64&gt;=Assumptions!$B$6,E64&lt;=Assumptions!$B$5),"Y","N")</f>
        <v>N</v>
      </c>
      <c r="L64" s="27" t="n">
        <f aca="false">IFERROR(INDEX(Assumptions!$B$22:$B$39,MATCH(F64,Assumptions!$A$22:$A$39,0)),0)</f>
        <v>0</v>
      </c>
      <c r="M64" s="29" t="n">
        <f aca="false">IF(I64="Y",SUMIFS($E$2:$E$114,$C$2:$C$114,C64,$B$2:$B$114,B64,$I$2:$I$114,"Y",$J$2:$J$114,J64),0)</f>
        <v>11300</v>
      </c>
      <c r="N64" s="27" t="str">
        <f aca="false">IF(M64&gt;Assumptions!$B$5,"CTR","")</f>
        <v>CTR</v>
      </c>
      <c r="O64" s="27" t="str">
        <f aca="false">IFERROR(INDEX(Client_Master!$R$2:$R$41,MATCH(C64,Client_Master!$A$2:$A$41,0)),"No KYC record")</f>
        <v>Complete</v>
      </c>
    </row>
    <row r="65" customFormat="false" ht="15" hidden="false" customHeight="false" outlineLevel="0" collapsed="false">
      <c r="A65" s="27" t="s">
        <v>391</v>
      </c>
      <c r="B65" s="28" t="n">
        <v>46300</v>
      </c>
      <c r="C65" s="27" t="s">
        <v>249</v>
      </c>
      <c r="D65" s="27" t="s">
        <v>318</v>
      </c>
      <c r="E65" s="29" t="n">
        <v>20900</v>
      </c>
      <c r="F65" s="27" t="s">
        <v>155</v>
      </c>
      <c r="G65" s="27" t="s">
        <v>319</v>
      </c>
      <c r="H65" s="27" t="str">
        <f aca="false">IFERROR(INDEX(Client_Master!$B$2:$B$41,MATCH(C65,Client_Master!$A$2:$A$41,0)),"UNKNOWN CLIENT")</f>
        <v>Bluewave Software Labs Inc</v>
      </c>
      <c r="I65" s="27" t="str">
        <f aca="false">IF(LEFT(D65,4)="Cash","Y","N")</f>
        <v>N</v>
      </c>
      <c r="J65" s="27" t="str">
        <f aca="false">IF(OR(D65="Cash Deposit",D65="Wire In"),"In","Out")</f>
        <v>Out</v>
      </c>
      <c r="K65" s="27" t="str">
        <f aca="false">IF(AND(I65="Y",E65&gt;=Assumptions!$B$6,E65&lt;=Assumptions!$B$5),"Y","N")</f>
        <v>N</v>
      </c>
      <c r="L65" s="27" t="n">
        <f aca="false">IFERROR(INDEX(Assumptions!$B$22:$B$39,MATCH(F65,Assumptions!$A$22:$A$39,0)),0)</f>
        <v>0</v>
      </c>
      <c r="M65" s="29" t="n">
        <f aca="false">IF(I65="Y",SUMIFS($E$2:$E$114,$C$2:$C$114,C65,$B$2:$B$114,B65,$I$2:$I$114,"Y",$J$2:$J$114,J65),0)</f>
        <v>0</v>
      </c>
      <c r="N65" s="27" t="str">
        <f aca="false">IF(M65&gt;Assumptions!$B$5,"CTR","")</f>
        <v/>
      </c>
      <c r="O65" s="27" t="str">
        <f aca="false">IFERROR(INDEX(Client_Master!$R$2:$R$41,MATCH(C65,Client_Master!$A$2:$A$41,0)),"No KYC record")</f>
        <v>Complete</v>
      </c>
    </row>
    <row r="66" customFormat="false" ht="15" hidden="false" customHeight="false" outlineLevel="0" collapsed="false">
      <c r="A66" s="27" t="s">
        <v>392</v>
      </c>
      <c r="B66" s="28" t="n">
        <v>46300</v>
      </c>
      <c r="C66" s="27" t="s">
        <v>261</v>
      </c>
      <c r="D66" s="27" t="s">
        <v>318</v>
      </c>
      <c r="E66" s="29" t="n">
        <v>246500</v>
      </c>
      <c r="F66" s="27" t="s">
        <v>178</v>
      </c>
      <c r="G66" s="27" t="s">
        <v>373</v>
      </c>
      <c r="H66" s="27" t="str">
        <f aca="false">IFERROR(INDEX(Client_Master!$B$2:$B$41,MATCH(C66,Client_Master!$A$2:$A$41,0)),"UNKNOWN CLIENT")</f>
        <v>Vantage Commodities Trading FZE</v>
      </c>
      <c r="I66" s="27" t="str">
        <f aca="false">IF(LEFT(D66,4)="Cash","Y","N")</f>
        <v>N</v>
      </c>
      <c r="J66" s="27" t="str">
        <f aca="false">IF(OR(D66="Cash Deposit",D66="Wire In"),"In","Out")</f>
        <v>Out</v>
      </c>
      <c r="K66" s="27" t="str">
        <f aca="false">IF(AND(I66="Y",E66&gt;=Assumptions!$B$6,E66&lt;=Assumptions!$B$5),"Y","N")</f>
        <v>N</v>
      </c>
      <c r="L66" s="27" t="n">
        <f aca="false">IFERROR(INDEX(Assumptions!$B$22:$B$39,MATCH(F66,Assumptions!$A$22:$A$39,0)),0)</f>
        <v>2</v>
      </c>
      <c r="M66" s="29" t="n">
        <f aca="false">IF(I66="Y",SUMIFS($E$2:$E$114,$C$2:$C$114,C66,$B$2:$B$114,B66,$I$2:$I$114,"Y",$J$2:$J$114,J66),0)</f>
        <v>0</v>
      </c>
      <c r="N66" s="27" t="str">
        <f aca="false">IF(M66&gt;Assumptions!$B$5,"CTR","")</f>
        <v/>
      </c>
      <c r="O66" s="27" t="str">
        <f aca="false">IFERROR(INDEX(Client_Master!$R$2:$R$41,MATCH(C66,Client_Master!$A$2:$A$41,0)),"No KYC record")</f>
        <v>Complete</v>
      </c>
    </row>
    <row r="67" customFormat="false" ht="15" hidden="false" customHeight="false" outlineLevel="0" collapsed="false">
      <c r="A67" s="27" t="s">
        <v>393</v>
      </c>
      <c r="B67" s="28" t="n">
        <v>46300</v>
      </c>
      <c r="C67" s="27" t="s">
        <v>279</v>
      </c>
      <c r="D67" s="27" t="s">
        <v>318</v>
      </c>
      <c r="E67" s="29" t="n">
        <v>25300</v>
      </c>
      <c r="F67" s="27" t="s">
        <v>165</v>
      </c>
      <c r="G67" s="27" t="s">
        <v>319</v>
      </c>
      <c r="H67" s="27" t="str">
        <f aca="false">IFERROR(INDEX(Client_Master!$B$2:$B$41,MATCH(C67,Client_Master!$A$2:$A$41,0)),"UNKNOWN CLIENT")</f>
        <v>Meridian Textile Exports Pvt Ltd</v>
      </c>
      <c r="I67" s="27" t="str">
        <f aca="false">IF(LEFT(D67,4)="Cash","Y","N")</f>
        <v>N</v>
      </c>
      <c r="J67" s="27" t="str">
        <f aca="false">IF(OR(D67="Cash Deposit",D67="Wire In"),"In","Out")</f>
        <v>Out</v>
      </c>
      <c r="K67" s="27" t="str">
        <f aca="false">IF(AND(I67="Y",E67&gt;=Assumptions!$B$6,E67&lt;=Assumptions!$B$5),"Y","N")</f>
        <v>N</v>
      </c>
      <c r="L67" s="27" t="n">
        <f aca="false">IFERROR(INDEX(Assumptions!$B$22:$B$39,MATCH(F67,Assumptions!$A$22:$A$39,0)),0)</f>
        <v>0</v>
      </c>
      <c r="M67" s="29" t="n">
        <f aca="false">IF(I67="Y",SUMIFS($E$2:$E$114,$C$2:$C$114,C67,$B$2:$B$114,B67,$I$2:$I$114,"Y",$J$2:$J$114,J67),0)</f>
        <v>0</v>
      </c>
      <c r="N67" s="27" t="str">
        <f aca="false">IF(M67&gt;Assumptions!$B$5,"CTR","")</f>
        <v/>
      </c>
      <c r="O67" s="27" t="str">
        <f aca="false">IFERROR(INDEX(Client_Master!$R$2:$R$41,MATCH(C67,Client_Master!$A$2:$A$41,0)),"No KYC record")</f>
        <v>Complete</v>
      </c>
    </row>
    <row r="68" customFormat="false" ht="15" hidden="false" customHeight="false" outlineLevel="0" collapsed="false">
      <c r="A68" s="27" t="s">
        <v>394</v>
      </c>
      <c r="B68" s="28" t="n">
        <v>46301</v>
      </c>
      <c r="C68" s="27" t="s">
        <v>216</v>
      </c>
      <c r="D68" s="27" t="s">
        <v>318</v>
      </c>
      <c r="E68" s="29" t="n">
        <v>76800</v>
      </c>
      <c r="F68" s="27" t="s">
        <v>167</v>
      </c>
      <c r="G68" s="27" t="s">
        <v>319</v>
      </c>
      <c r="H68" s="27" t="str">
        <f aca="false">IFERROR(INDEX(Client_Master!$B$2:$B$41,MATCH(C68,Client_Master!$A$2:$A$41,0)),"UNKNOWN CLIENT")</f>
        <v>Aurora Software Solutions Pvt Ltd</v>
      </c>
      <c r="I68" s="27" t="str">
        <f aca="false">IF(LEFT(D68,4)="Cash","Y","N")</f>
        <v>N</v>
      </c>
      <c r="J68" s="27" t="str">
        <f aca="false">IF(OR(D68="Cash Deposit",D68="Wire In"),"In","Out")</f>
        <v>Out</v>
      </c>
      <c r="K68" s="27" t="str">
        <f aca="false">IF(AND(I68="Y",E68&gt;=Assumptions!$B$6,E68&lt;=Assumptions!$B$5),"Y","N")</f>
        <v>N</v>
      </c>
      <c r="L68" s="27" t="n">
        <f aca="false">IFERROR(INDEX(Assumptions!$B$22:$B$39,MATCH(F68,Assumptions!$A$22:$A$39,0)),0)</f>
        <v>0</v>
      </c>
      <c r="M68" s="29" t="n">
        <f aca="false">IF(I68="Y",SUMIFS($E$2:$E$114,$C$2:$C$114,C68,$B$2:$B$114,B68,$I$2:$I$114,"Y",$J$2:$J$114,J68),0)</f>
        <v>0</v>
      </c>
      <c r="N68" s="27" t="str">
        <f aca="false">IF(M68&gt;Assumptions!$B$5,"CTR","")</f>
        <v/>
      </c>
      <c r="O68" s="27" t="str">
        <f aca="false">IFERROR(INDEX(Client_Master!$R$2:$R$41,MATCH(C68,Client_Master!$A$2:$A$41,0)),"No KYC record")</f>
        <v>Complete</v>
      </c>
    </row>
    <row r="69" customFormat="false" ht="15" hidden="false" customHeight="false" outlineLevel="0" collapsed="false">
      <c r="A69" s="27" t="s">
        <v>395</v>
      </c>
      <c r="B69" s="28" t="n">
        <v>46301</v>
      </c>
      <c r="C69" s="27" t="s">
        <v>245</v>
      </c>
      <c r="D69" s="27" t="s">
        <v>315</v>
      </c>
      <c r="E69" s="29" t="n">
        <v>21600</v>
      </c>
      <c r="F69" s="27" t="s">
        <v>155</v>
      </c>
      <c r="G69" s="27" t="s">
        <v>316</v>
      </c>
      <c r="H69" s="27" t="str">
        <f aca="false">IFERROR(INDEX(Client_Master!$B$2:$B$41,MATCH(C69,Client_Master!$A$2:$A$41,0)),"UNKNOWN CLIENT")</f>
        <v>Maple Leaf Health Clinics Inc</v>
      </c>
      <c r="I69" s="27" t="str">
        <f aca="false">IF(LEFT(D69,4)="Cash","Y","N")</f>
        <v>N</v>
      </c>
      <c r="J69" s="27" t="str">
        <f aca="false">IF(OR(D69="Cash Deposit",D69="Wire In"),"In","Out")</f>
        <v>In</v>
      </c>
      <c r="K69" s="27" t="str">
        <f aca="false">IF(AND(I69="Y",E69&gt;=Assumptions!$B$6,E69&lt;=Assumptions!$B$5),"Y","N")</f>
        <v>N</v>
      </c>
      <c r="L69" s="27" t="n">
        <f aca="false">IFERROR(INDEX(Assumptions!$B$22:$B$39,MATCH(F69,Assumptions!$A$22:$A$39,0)),0)</f>
        <v>0</v>
      </c>
      <c r="M69" s="29" t="n">
        <f aca="false">IF(I69="Y",SUMIFS($E$2:$E$114,$C$2:$C$114,C69,$B$2:$B$114,B69,$I$2:$I$114,"Y",$J$2:$J$114,J69),0)</f>
        <v>0</v>
      </c>
      <c r="N69" s="27" t="str">
        <f aca="false">IF(M69&gt;Assumptions!$B$5,"CTR","")</f>
        <v/>
      </c>
      <c r="O69" s="27" t="str">
        <f aca="false">IFERROR(INDEX(Client_Master!$R$2:$R$41,MATCH(C69,Client_Master!$A$2:$A$41,0)),"No KYC record")</f>
        <v>Complete</v>
      </c>
    </row>
    <row r="70" customFormat="false" ht="15" hidden="false" customHeight="false" outlineLevel="0" collapsed="false">
      <c r="A70" s="27" t="s">
        <v>396</v>
      </c>
      <c r="B70" s="28" t="n">
        <v>46301</v>
      </c>
      <c r="C70" s="27" t="s">
        <v>271</v>
      </c>
      <c r="D70" s="27" t="s">
        <v>318</v>
      </c>
      <c r="E70" s="29" t="n">
        <v>60000</v>
      </c>
      <c r="F70" s="27" t="s">
        <v>184</v>
      </c>
      <c r="G70" s="27" t="s">
        <v>373</v>
      </c>
      <c r="H70" s="27" t="str">
        <f aca="false">IFERROR(INDEX(Client_Master!$B$2:$B$41,MATCH(C70,Client_Master!$A$2:$A$41,0)),"UNKNOWN CLIENT")</f>
        <v>Irrawaddy Trade Links Ltd</v>
      </c>
      <c r="I70" s="27" t="str">
        <f aca="false">IF(LEFT(D70,4)="Cash","Y","N")</f>
        <v>N</v>
      </c>
      <c r="J70" s="27" t="str">
        <f aca="false">IF(OR(D70="Cash Deposit",D70="Wire In"),"In","Out")</f>
        <v>Out</v>
      </c>
      <c r="K70" s="27" t="str">
        <f aca="false">IF(AND(I70="Y",E70&gt;=Assumptions!$B$6,E70&lt;=Assumptions!$B$5),"Y","N")</f>
        <v>N</v>
      </c>
      <c r="L70" s="27" t="n">
        <f aca="false">IFERROR(INDEX(Assumptions!$B$22:$B$39,MATCH(F70,Assumptions!$A$22:$A$39,0)),0)</f>
        <v>3</v>
      </c>
      <c r="M70" s="29" t="n">
        <f aca="false">IF(I70="Y",SUMIFS($E$2:$E$114,$C$2:$C$114,C70,$B$2:$B$114,B70,$I$2:$I$114,"Y",$J$2:$J$114,J70),0)</f>
        <v>0</v>
      </c>
      <c r="N70" s="27" t="str">
        <f aca="false">IF(M70&gt;Assumptions!$B$5,"CTR","")</f>
        <v/>
      </c>
      <c r="O70" s="27" t="str">
        <f aca="false">IFERROR(INDEX(Client_Master!$R$2:$R$41,MATCH(C70,Client_Master!$A$2:$A$41,0)),"No KYC record")</f>
        <v>Complete</v>
      </c>
    </row>
    <row r="71" customFormat="false" ht="15" hidden="false" customHeight="false" outlineLevel="0" collapsed="false">
      <c r="A71" s="27" t="s">
        <v>397</v>
      </c>
      <c r="B71" s="28" t="n">
        <v>46302</v>
      </c>
      <c r="C71" s="27" t="s">
        <v>263</v>
      </c>
      <c r="D71" s="27" t="s">
        <v>315</v>
      </c>
      <c r="E71" s="29" t="n">
        <v>9900</v>
      </c>
      <c r="F71" s="27" t="s">
        <v>158</v>
      </c>
      <c r="G71" s="27" t="s">
        <v>316</v>
      </c>
      <c r="H71" s="27" t="str">
        <f aca="false">IFERROR(INDEX(Client_Master!$B$2:$B$41,MATCH(C71,Client_Master!$A$2:$A$41,0)),"UNKNOWN CLIENT")</f>
        <v>Cedar Hill Property Holdings Ltd</v>
      </c>
      <c r="I71" s="27" t="str">
        <f aca="false">IF(LEFT(D71,4)="Cash","Y","N")</f>
        <v>N</v>
      </c>
      <c r="J71" s="27" t="str">
        <f aca="false">IF(OR(D71="Cash Deposit",D71="Wire In"),"In","Out")</f>
        <v>In</v>
      </c>
      <c r="K71" s="27" t="str">
        <f aca="false">IF(AND(I71="Y",E71&gt;=Assumptions!$B$6,E71&lt;=Assumptions!$B$5),"Y","N")</f>
        <v>N</v>
      </c>
      <c r="L71" s="27" t="n">
        <f aca="false">IFERROR(INDEX(Assumptions!$B$22:$B$39,MATCH(F71,Assumptions!$A$22:$A$39,0)),0)</f>
        <v>0</v>
      </c>
      <c r="M71" s="29" t="n">
        <f aca="false">IF(I71="Y",SUMIFS($E$2:$E$114,$C$2:$C$114,C71,$B$2:$B$114,B71,$I$2:$I$114,"Y",$J$2:$J$114,J71),0)</f>
        <v>0</v>
      </c>
      <c r="N71" s="27" t="str">
        <f aca="false">IF(M71&gt;Assumptions!$B$5,"CTR","")</f>
        <v/>
      </c>
      <c r="O71" s="27" t="str">
        <f aca="false">IFERROR(INDEX(Client_Master!$R$2:$R$41,MATCH(C71,Client_Master!$A$2:$A$41,0)),"No KYC record")</f>
        <v>Complete</v>
      </c>
    </row>
    <row r="72" customFormat="false" ht="15" hidden="false" customHeight="false" outlineLevel="0" collapsed="false">
      <c r="A72" s="27" t="s">
        <v>398</v>
      </c>
      <c r="B72" s="28" t="n">
        <v>46302</v>
      </c>
      <c r="C72" s="27" t="s">
        <v>265</v>
      </c>
      <c r="D72" s="27" t="s">
        <v>332</v>
      </c>
      <c r="E72" s="29" t="n">
        <v>6100</v>
      </c>
      <c r="F72" s="27" t="s">
        <v>148</v>
      </c>
      <c r="G72" s="27" t="s">
        <v>336</v>
      </c>
      <c r="H72" s="27" t="str">
        <f aca="false">IFERROR(INDEX(Client_Master!$B$2:$B$41,MATCH(C72,Client_Master!$A$2:$A$41,0)),"UNKNOWN CLIENT")</f>
        <v>Sunrise Auto Traders LLC</v>
      </c>
      <c r="I72" s="27" t="str">
        <f aca="false">IF(LEFT(D72,4)="Cash","Y","N")</f>
        <v>Y</v>
      </c>
      <c r="J72" s="27" t="str">
        <f aca="false">IF(OR(D72="Cash Deposit",D72="Wire In"),"In","Out")</f>
        <v>In</v>
      </c>
      <c r="K72" s="27" t="str">
        <f aca="false">IF(AND(I72="Y",E72&gt;=Assumptions!$B$6,E72&lt;=Assumptions!$B$5),"Y","N")</f>
        <v>N</v>
      </c>
      <c r="L72" s="27" t="n">
        <f aca="false">IFERROR(INDEX(Assumptions!$B$22:$B$39,MATCH(F72,Assumptions!$A$22:$A$39,0)),0)</f>
        <v>0</v>
      </c>
      <c r="M72" s="29" t="n">
        <f aca="false">IF(I72="Y",SUMIFS($E$2:$E$114,$C$2:$C$114,C72,$B$2:$B$114,B72,$I$2:$I$114,"Y",$J$2:$J$114,J72),0)</f>
        <v>6100</v>
      </c>
      <c r="N72" s="27" t="str">
        <f aca="false">IF(M72&gt;Assumptions!$B$5,"CTR","")</f>
        <v/>
      </c>
      <c r="O72" s="27" t="str">
        <f aca="false">IFERROR(INDEX(Client_Master!$R$2:$R$41,MATCH(C72,Client_Master!$A$2:$A$41,0)),"No KYC record")</f>
        <v>Incomplete - Docs</v>
      </c>
    </row>
    <row r="73" customFormat="false" ht="15" hidden="false" customHeight="false" outlineLevel="0" collapsed="false">
      <c r="A73" s="27" t="s">
        <v>399</v>
      </c>
      <c r="B73" s="28" t="n">
        <v>46302</v>
      </c>
      <c r="C73" s="27" t="s">
        <v>280</v>
      </c>
      <c r="D73" s="27" t="s">
        <v>318</v>
      </c>
      <c r="E73" s="29" t="n">
        <v>86500</v>
      </c>
      <c r="F73" s="27" t="s">
        <v>155</v>
      </c>
      <c r="G73" s="27" t="s">
        <v>319</v>
      </c>
      <c r="H73" s="27" t="str">
        <f aca="false">IFERROR(INDEX(Client_Master!$B$2:$B$41,MATCH(C73,Client_Master!$A$2:$A$41,0)),"UNKNOWN CLIENT")</f>
        <v>Anatolia Steel Works AS</v>
      </c>
      <c r="I73" s="27" t="str">
        <f aca="false">IF(LEFT(D73,4)="Cash","Y","N")</f>
        <v>N</v>
      </c>
      <c r="J73" s="27" t="str">
        <f aca="false">IF(OR(D73="Cash Deposit",D73="Wire In"),"In","Out")</f>
        <v>Out</v>
      </c>
      <c r="K73" s="27" t="str">
        <f aca="false">IF(AND(I73="Y",E73&gt;=Assumptions!$B$6,E73&lt;=Assumptions!$B$5),"Y","N")</f>
        <v>N</v>
      </c>
      <c r="L73" s="27" t="n">
        <f aca="false">IFERROR(INDEX(Assumptions!$B$22:$B$39,MATCH(F73,Assumptions!$A$22:$A$39,0)),0)</f>
        <v>0</v>
      </c>
      <c r="M73" s="29" t="n">
        <f aca="false">IF(I73="Y",SUMIFS($E$2:$E$114,$C$2:$C$114,C73,$B$2:$B$114,B73,$I$2:$I$114,"Y",$J$2:$J$114,J73),0)</f>
        <v>0</v>
      </c>
      <c r="N73" s="27" t="str">
        <f aca="false">IF(M73&gt;Assumptions!$B$5,"CTR","")</f>
        <v/>
      </c>
      <c r="O73" s="27" t="str">
        <f aca="false">IFERROR(INDEX(Client_Master!$R$2:$R$41,MATCH(C73,Client_Master!$A$2:$A$41,0)),"No KYC record")</f>
        <v>Complete</v>
      </c>
    </row>
    <row r="74" customFormat="false" ht="15" hidden="false" customHeight="false" outlineLevel="0" collapsed="false">
      <c r="A74" s="27" t="s">
        <v>400</v>
      </c>
      <c r="B74" s="28" t="n">
        <v>46302</v>
      </c>
      <c r="C74" s="27" t="s">
        <v>288</v>
      </c>
      <c r="D74" s="27" t="s">
        <v>315</v>
      </c>
      <c r="E74" s="29" t="n">
        <v>35000</v>
      </c>
      <c r="F74" s="27" t="s">
        <v>161</v>
      </c>
      <c r="G74" s="27" t="s">
        <v>401</v>
      </c>
      <c r="H74" s="27" t="str">
        <f aca="false">IFERROR(INDEX(Client_Master!$B$2:$B$41,MATCH(C74,Client_Master!$A$2:$A$41,0)),"UNKNOWN CLIENT")</f>
        <v>Baltic Star Shipping Ltd</v>
      </c>
      <c r="I74" s="27" t="str">
        <f aca="false">IF(LEFT(D74,4)="Cash","Y","N")</f>
        <v>N</v>
      </c>
      <c r="J74" s="27" t="str">
        <f aca="false">IF(OR(D74="Cash Deposit",D74="Wire In"),"In","Out")</f>
        <v>In</v>
      </c>
      <c r="K74" s="27" t="str">
        <f aca="false">IF(AND(I74="Y",E74&gt;=Assumptions!$B$6,E74&lt;=Assumptions!$B$5),"Y","N")</f>
        <v>N</v>
      </c>
      <c r="L74" s="27" t="n">
        <f aca="false">IFERROR(INDEX(Assumptions!$B$22:$B$39,MATCH(F74,Assumptions!$A$22:$A$39,0)),0)</f>
        <v>0</v>
      </c>
      <c r="M74" s="29" t="n">
        <f aca="false">IF(I74="Y",SUMIFS($E$2:$E$114,$C$2:$C$114,C74,$B$2:$B$114,B74,$I$2:$I$114,"Y",$J$2:$J$114,J74),0)</f>
        <v>0</v>
      </c>
      <c r="N74" s="27" t="str">
        <f aca="false">IF(M74&gt;Assumptions!$B$5,"CTR","")</f>
        <v/>
      </c>
      <c r="O74" s="27" t="str">
        <f aca="false">IFERROR(INDEX(Client_Master!$R$2:$R$41,MATCH(C74,Client_Master!$A$2:$A$41,0)),"No KYC record")</f>
        <v>Incomplete - Screening</v>
      </c>
    </row>
    <row r="75" customFormat="false" ht="15" hidden="false" customHeight="false" outlineLevel="0" collapsed="false">
      <c r="A75" s="27" t="s">
        <v>402</v>
      </c>
      <c r="B75" s="28" t="n">
        <v>46303</v>
      </c>
      <c r="C75" s="27" t="s">
        <v>223</v>
      </c>
      <c r="D75" s="27" t="s">
        <v>315</v>
      </c>
      <c r="E75" s="29" t="n">
        <v>30000</v>
      </c>
      <c r="F75" s="27" t="s">
        <v>161</v>
      </c>
      <c r="G75" s="27" t="s">
        <v>316</v>
      </c>
      <c r="H75" s="27" t="str">
        <f aca="false">IFERROR(INDEX(Client_Master!$B$2:$B$41,MATCH(C75,Client_Master!$A$2:$A$41,0)),"UNKNOWN CLIENT")</f>
        <v>Lotus Healthcare Systems Ltd</v>
      </c>
      <c r="I75" s="27" t="str">
        <f aca="false">IF(LEFT(D75,4)="Cash","Y","N")</f>
        <v>N</v>
      </c>
      <c r="J75" s="27" t="str">
        <f aca="false">IF(OR(D75="Cash Deposit",D75="Wire In"),"In","Out")</f>
        <v>In</v>
      </c>
      <c r="K75" s="27" t="str">
        <f aca="false">IF(AND(I75="Y",E75&gt;=Assumptions!$B$6,E75&lt;=Assumptions!$B$5),"Y","N")</f>
        <v>N</v>
      </c>
      <c r="L75" s="27" t="n">
        <f aca="false">IFERROR(INDEX(Assumptions!$B$22:$B$39,MATCH(F75,Assumptions!$A$22:$A$39,0)),0)</f>
        <v>0</v>
      </c>
      <c r="M75" s="29" t="n">
        <f aca="false">IF(I75="Y",SUMIFS($E$2:$E$114,$C$2:$C$114,C75,$B$2:$B$114,B75,$I$2:$I$114,"Y",$J$2:$J$114,J75),0)</f>
        <v>0</v>
      </c>
      <c r="N75" s="27" t="str">
        <f aca="false">IF(M75&gt;Assumptions!$B$5,"CTR","")</f>
        <v/>
      </c>
      <c r="O75" s="27" t="str">
        <f aca="false">IFERROR(INDEX(Client_Master!$R$2:$R$41,MATCH(C75,Client_Master!$A$2:$A$41,0)),"No KYC record")</f>
        <v>Complete</v>
      </c>
    </row>
    <row r="76" customFormat="false" ht="15" hidden="false" customHeight="false" outlineLevel="0" collapsed="false">
      <c r="A76" s="27" t="s">
        <v>403</v>
      </c>
      <c r="B76" s="28" t="n">
        <v>46303</v>
      </c>
      <c r="C76" s="27" t="s">
        <v>225</v>
      </c>
      <c r="D76" s="27" t="s">
        <v>315</v>
      </c>
      <c r="E76" s="29" t="n">
        <v>75700</v>
      </c>
      <c r="F76" s="27" t="s">
        <v>163</v>
      </c>
      <c r="G76" s="27" t="s">
        <v>316</v>
      </c>
      <c r="H76" s="27" t="str">
        <f aca="false">IFERROR(INDEX(Client_Master!$B$2:$B$41,MATCH(C76,Client_Master!$A$2:$A$41,0)),"UNKNOWN CLIENT")</f>
        <v>Thames Consulting Partners LLP</v>
      </c>
      <c r="I76" s="27" t="str">
        <f aca="false">IF(LEFT(D76,4)="Cash","Y","N")</f>
        <v>N</v>
      </c>
      <c r="J76" s="27" t="str">
        <f aca="false">IF(OR(D76="Cash Deposit",D76="Wire In"),"In","Out")</f>
        <v>In</v>
      </c>
      <c r="K76" s="27" t="str">
        <f aca="false">IF(AND(I76="Y",E76&gt;=Assumptions!$B$6,E76&lt;=Assumptions!$B$5),"Y","N")</f>
        <v>N</v>
      </c>
      <c r="L76" s="27" t="n">
        <f aca="false">IFERROR(INDEX(Assumptions!$B$22:$B$39,MATCH(F76,Assumptions!$A$22:$A$39,0)),0)</f>
        <v>0</v>
      </c>
      <c r="M76" s="29" t="n">
        <f aca="false">IF(I76="Y",SUMIFS($E$2:$E$114,$C$2:$C$114,C76,$B$2:$B$114,B76,$I$2:$I$114,"Y",$J$2:$J$114,J76),0)</f>
        <v>0</v>
      </c>
      <c r="N76" s="27" t="str">
        <f aca="false">IF(M76&gt;Assumptions!$B$5,"CTR","")</f>
        <v/>
      </c>
      <c r="O76" s="27" t="str">
        <f aca="false">IFERROR(INDEX(Client_Master!$R$2:$R$41,MATCH(C76,Client_Master!$A$2:$A$41,0)),"No KYC record")</f>
        <v>Complete</v>
      </c>
    </row>
    <row r="77" customFormat="false" ht="15" hidden="false" customHeight="false" outlineLevel="0" collapsed="false">
      <c r="A77" s="27" t="s">
        <v>404</v>
      </c>
      <c r="B77" s="28" t="n">
        <v>46303</v>
      </c>
      <c r="C77" s="27" t="s">
        <v>233</v>
      </c>
      <c r="D77" s="27" t="s">
        <v>332</v>
      </c>
      <c r="E77" s="29" t="n">
        <v>27000</v>
      </c>
      <c r="F77" s="27" t="s">
        <v>172</v>
      </c>
      <c r="G77" s="27" t="s">
        <v>339</v>
      </c>
      <c r="H77" s="27" t="str">
        <f aca="false">IFERROR(INDEX(Client_Master!$B$2:$B$41,MATCH(C77,Client_Master!$A$2:$A$41,0)),"UNKNOWN CLIENT")</f>
        <v>Golden Crest Jewellers LLC</v>
      </c>
      <c r="I77" s="27" t="str">
        <f aca="false">IF(LEFT(D77,4)="Cash","Y","N")</f>
        <v>Y</v>
      </c>
      <c r="J77" s="27" t="str">
        <f aca="false">IF(OR(D77="Cash Deposit",D77="Wire In"),"In","Out")</f>
        <v>In</v>
      </c>
      <c r="K77" s="27" t="str">
        <f aca="false">IF(AND(I77="Y",E77&gt;=Assumptions!$B$6,E77&lt;=Assumptions!$B$5),"Y","N")</f>
        <v>N</v>
      </c>
      <c r="L77" s="27" t="n">
        <f aca="false">IFERROR(INDEX(Assumptions!$B$22:$B$39,MATCH(F77,Assumptions!$A$22:$A$39,0)),0)</f>
        <v>1</v>
      </c>
      <c r="M77" s="29" t="n">
        <f aca="false">IF(I77="Y",SUMIFS($E$2:$E$114,$C$2:$C$114,C77,$B$2:$B$114,B77,$I$2:$I$114,"Y",$J$2:$J$114,J77),0)</f>
        <v>27000</v>
      </c>
      <c r="N77" s="27" t="str">
        <f aca="false">IF(M77&gt;Assumptions!$B$5,"CTR","")</f>
        <v>CTR</v>
      </c>
      <c r="O77" s="27" t="str">
        <f aca="false">IFERROR(INDEX(Client_Master!$R$2:$R$41,MATCH(C77,Client_Master!$A$2:$A$41,0)),"No KYC record")</f>
        <v>Complete</v>
      </c>
    </row>
    <row r="78" customFormat="false" ht="15" hidden="false" customHeight="false" outlineLevel="0" collapsed="false">
      <c r="A78" s="27" t="s">
        <v>405</v>
      </c>
      <c r="B78" s="28" t="n">
        <v>46303</v>
      </c>
      <c r="C78" s="27" t="s">
        <v>247</v>
      </c>
      <c r="D78" s="27" t="s">
        <v>318</v>
      </c>
      <c r="E78" s="29" t="n">
        <v>90000</v>
      </c>
      <c r="F78" s="27" t="s">
        <v>181</v>
      </c>
      <c r="G78" s="27" t="s">
        <v>406</v>
      </c>
      <c r="H78" s="27" t="str">
        <f aca="false">IFERROR(INDEX(Client_Master!$B$2:$B$41,MATCH(C78,Client_Master!$A$2:$A$41,0)),"UNKNOWN CLIENT")</f>
        <v>Hollis Capital Partners LLP</v>
      </c>
      <c r="I78" s="27" t="str">
        <f aca="false">IF(LEFT(D78,4)="Cash","Y","N")</f>
        <v>N</v>
      </c>
      <c r="J78" s="27" t="str">
        <f aca="false">IF(OR(D78="Cash Deposit",D78="Wire In"),"In","Out")</f>
        <v>Out</v>
      </c>
      <c r="K78" s="27" t="str">
        <f aca="false">IF(AND(I78="Y",E78&gt;=Assumptions!$B$6,E78&lt;=Assumptions!$B$5),"Y","N")</f>
        <v>N</v>
      </c>
      <c r="L78" s="27" t="n">
        <f aca="false">IFERROR(INDEX(Assumptions!$B$22:$B$39,MATCH(F78,Assumptions!$A$22:$A$39,0)),0)</f>
        <v>2</v>
      </c>
      <c r="M78" s="29" t="n">
        <f aca="false">IF(I78="Y",SUMIFS($E$2:$E$114,$C$2:$C$114,C78,$B$2:$B$114,B78,$I$2:$I$114,"Y",$J$2:$J$114,J78),0)</f>
        <v>0</v>
      </c>
      <c r="N78" s="27" t="str">
        <f aca="false">IF(M78&gt;Assumptions!$B$5,"CTR","")</f>
        <v/>
      </c>
      <c r="O78" s="27" t="str">
        <f aca="false">IFERROR(INDEX(Client_Master!$R$2:$R$41,MATCH(C78,Client_Master!$A$2:$A$41,0)),"No KYC record")</f>
        <v>Complete</v>
      </c>
    </row>
    <row r="79" customFormat="false" ht="15" hidden="false" customHeight="false" outlineLevel="0" collapsed="false">
      <c r="A79" s="27" t="s">
        <v>407</v>
      </c>
      <c r="B79" s="28" t="n">
        <v>46304</v>
      </c>
      <c r="C79" s="27" t="s">
        <v>229</v>
      </c>
      <c r="D79" s="27" t="s">
        <v>315</v>
      </c>
      <c r="E79" s="29" t="n">
        <v>87200</v>
      </c>
      <c r="F79" s="27" t="s">
        <v>167</v>
      </c>
      <c r="G79" s="27" t="s">
        <v>316</v>
      </c>
      <c r="H79" s="27" t="str">
        <f aca="false">IFERROR(INDEX(Client_Master!$B$2:$B$41,MATCH(C79,Client_Master!$A$2:$A$41,0)),"UNKNOWN CLIENT")</f>
        <v>Meridian Textile Exports Pvt Ltd</v>
      </c>
      <c r="I79" s="27" t="str">
        <f aca="false">IF(LEFT(D79,4)="Cash","Y","N")</f>
        <v>N</v>
      </c>
      <c r="J79" s="27" t="str">
        <f aca="false">IF(OR(D79="Cash Deposit",D79="Wire In"),"In","Out")</f>
        <v>In</v>
      </c>
      <c r="K79" s="27" t="str">
        <f aca="false">IF(AND(I79="Y",E79&gt;=Assumptions!$B$6,E79&lt;=Assumptions!$B$5),"Y","N")</f>
        <v>N</v>
      </c>
      <c r="L79" s="27" t="n">
        <f aca="false">IFERROR(INDEX(Assumptions!$B$22:$B$39,MATCH(F79,Assumptions!$A$22:$A$39,0)),0)</f>
        <v>0</v>
      </c>
      <c r="M79" s="29" t="n">
        <f aca="false">IF(I79="Y",SUMIFS($E$2:$E$114,$C$2:$C$114,C79,$B$2:$B$114,B79,$I$2:$I$114,"Y",$J$2:$J$114,J79),0)</f>
        <v>0</v>
      </c>
      <c r="N79" s="27" t="str">
        <f aca="false">IF(M79&gt;Assumptions!$B$5,"CTR","")</f>
        <v/>
      </c>
      <c r="O79" s="27" t="str">
        <f aca="false">IFERROR(INDEX(Client_Master!$R$2:$R$41,MATCH(C79,Client_Master!$A$2:$A$41,0)),"No KYC record")</f>
        <v>Complete</v>
      </c>
    </row>
    <row r="80" customFormat="false" ht="15" hidden="false" customHeight="false" outlineLevel="0" collapsed="false">
      <c r="A80" s="27" t="s">
        <v>408</v>
      </c>
      <c r="B80" s="28" t="n">
        <v>46304</v>
      </c>
      <c r="C80" s="27" t="s">
        <v>231</v>
      </c>
      <c r="D80" s="27" t="s">
        <v>315</v>
      </c>
      <c r="E80" s="29" t="n">
        <v>12800</v>
      </c>
      <c r="F80" s="27" t="s">
        <v>167</v>
      </c>
      <c r="G80" s="27" t="s">
        <v>316</v>
      </c>
      <c r="H80" s="27" t="str">
        <f aca="false">IFERROR(INDEX(Client_Master!$B$2:$B$41,MATCH(C80,Client_Master!$A$2:$A$41,0)),"UNKNOWN CLIENT")</f>
        <v>Alpine Logistics AG</v>
      </c>
      <c r="I80" s="27" t="str">
        <f aca="false">IF(LEFT(D80,4)="Cash","Y","N")</f>
        <v>N</v>
      </c>
      <c r="J80" s="27" t="str">
        <f aca="false">IF(OR(D80="Cash Deposit",D80="Wire In"),"In","Out")</f>
        <v>In</v>
      </c>
      <c r="K80" s="27" t="str">
        <f aca="false">IF(AND(I80="Y",E80&gt;=Assumptions!$B$6,E80&lt;=Assumptions!$B$5),"Y","N")</f>
        <v>N</v>
      </c>
      <c r="L80" s="27" t="n">
        <f aca="false">IFERROR(INDEX(Assumptions!$B$22:$B$39,MATCH(F80,Assumptions!$A$22:$A$39,0)),0)</f>
        <v>0</v>
      </c>
      <c r="M80" s="29" t="n">
        <f aca="false">IF(I80="Y",SUMIFS($E$2:$E$114,$C$2:$C$114,C80,$B$2:$B$114,B80,$I$2:$I$114,"Y",$J$2:$J$114,J80),0)</f>
        <v>0</v>
      </c>
      <c r="N80" s="27" t="str">
        <f aca="false">IF(M80&gt;Assumptions!$B$5,"CTR","")</f>
        <v/>
      </c>
      <c r="O80" s="27" t="str">
        <f aca="false">IFERROR(INDEX(Client_Master!$R$2:$R$41,MATCH(C80,Client_Master!$A$2:$A$41,0)),"No KYC record")</f>
        <v>Complete</v>
      </c>
    </row>
    <row r="81" customFormat="false" ht="15" hidden="false" customHeight="false" outlineLevel="0" collapsed="false">
      <c r="A81" s="27" t="s">
        <v>409</v>
      </c>
      <c r="B81" s="28" t="n">
        <v>46304</v>
      </c>
      <c r="C81" s="27" t="s">
        <v>251</v>
      </c>
      <c r="D81" s="27" t="s">
        <v>315</v>
      </c>
      <c r="E81" s="29" t="n">
        <v>49800</v>
      </c>
      <c r="F81" s="27" t="s">
        <v>169</v>
      </c>
      <c r="G81" s="27" t="s">
        <v>316</v>
      </c>
      <c r="H81" s="27" t="str">
        <f aca="false">IFERROR(INDEX(Client_Master!$B$2:$B$41,MATCH(C81,Client_Master!$A$2:$A$41,0)),"UNKNOWN CLIENT")</f>
        <v>Evergreen Charitable Foundation</v>
      </c>
      <c r="I81" s="27" t="str">
        <f aca="false">IF(LEFT(D81,4)="Cash","Y","N")</f>
        <v>N</v>
      </c>
      <c r="J81" s="27" t="str">
        <f aca="false">IF(OR(D81="Cash Deposit",D81="Wire In"),"In","Out")</f>
        <v>In</v>
      </c>
      <c r="K81" s="27" t="str">
        <f aca="false">IF(AND(I81="Y",E81&gt;=Assumptions!$B$6,E81&lt;=Assumptions!$B$5),"Y","N")</f>
        <v>N</v>
      </c>
      <c r="L81" s="27" t="n">
        <f aca="false">IFERROR(INDEX(Assumptions!$B$22:$B$39,MATCH(F81,Assumptions!$A$22:$A$39,0)),0)</f>
        <v>1</v>
      </c>
      <c r="M81" s="29" t="n">
        <f aca="false">IF(I81="Y",SUMIFS($E$2:$E$114,$C$2:$C$114,C81,$B$2:$B$114,B81,$I$2:$I$114,"Y",$J$2:$J$114,J81),0)</f>
        <v>0</v>
      </c>
      <c r="N81" s="27" t="str">
        <f aca="false">IF(M81&gt;Assumptions!$B$5,"CTR","")</f>
        <v/>
      </c>
      <c r="O81" s="27" t="str">
        <f aca="false">IFERROR(INDEX(Client_Master!$R$2:$R$41,MATCH(C81,Client_Master!$A$2:$A$41,0)),"No KYC record")</f>
        <v>Incomplete - Docs</v>
      </c>
    </row>
    <row r="82" customFormat="false" ht="15" hidden="false" customHeight="false" outlineLevel="0" collapsed="false">
      <c r="A82" s="27" t="s">
        <v>410</v>
      </c>
      <c r="B82" s="28" t="n">
        <v>46304</v>
      </c>
      <c r="C82" s="27" t="s">
        <v>411</v>
      </c>
      <c r="D82" s="27" t="s">
        <v>332</v>
      </c>
      <c r="E82" s="29" t="n">
        <v>7800</v>
      </c>
      <c r="F82" s="27" t="s">
        <v>148</v>
      </c>
      <c r="G82" s="27" t="s">
        <v>333</v>
      </c>
      <c r="H82" s="27" t="str">
        <f aca="false">IFERROR(INDEX(Client_Master!$B$2:$B$41,MATCH(C82,Client_Master!$A$2:$A$41,0)),"UNKNOWN CLIENT")</f>
        <v>UNKNOWN CLIENT</v>
      </c>
      <c r="I82" s="27" t="str">
        <f aca="false">IF(LEFT(D82,4)="Cash","Y","N")</f>
        <v>Y</v>
      </c>
      <c r="J82" s="27" t="str">
        <f aca="false">IF(OR(D82="Cash Deposit",D82="Wire In"),"In","Out")</f>
        <v>In</v>
      </c>
      <c r="K82" s="27" t="str">
        <f aca="false">IF(AND(I82="Y",E82&gt;=Assumptions!$B$6,E82&lt;=Assumptions!$B$5),"Y","N")</f>
        <v>N</v>
      </c>
      <c r="L82" s="27" t="n">
        <f aca="false">IFERROR(INDEX(Assumptions!$B$22:$B$39,MATCH(F82,Assumptions!$A$22:$A$39,0)),0)</f>
        <v>0</v>
      </c>
      <c r="M82" s="29" t="n">
        <f aca="false">IF(I82="Y",SUMIFS($E$2:$E$114,$C$2:$C$114,C82,$B$2:$B$114,B82,$I$2:$I$114,"Y",$J$2:$J$114,J82),0)</f>
        <v>7800</v>
      </c>
      <c r="N82" s="27" t="str">
        <f aca="false">IF(M82&gt;Assumptions!$B$5,"CTR","")</f>
        <v/>
      </c>
      <c r="O82" s="27" t="str">
        <f aca="false">IFERROR(INDEX(Client_Master!$R$2:$R$41,MATCH(C82,Client_Master!$A$2:$A$41,0)),"No KYC record")</f>
        <v>No KYC record</v>
      </c>
    </row>
    <row r="83" customFormat="false" ht="15" hidden="false" customHeight="false" outlineLevel="0" collapsed="false">
      <c r="A83" s="27" t="s">
        <v>412</v>
      </c>
      <c r="B83" s="28" t="n">
        <v>46307</v>
      </c>
      <c r="C83" s="27" t="s">
        <v>221</v>
      </c>
      <c r="D83" s="27" t="s">
        <v>318</v>
      </c>
      <c r="E83" s="29" t="n">
        <v>65700</v>
      </c>
      <c r="F83" s="27" t="s">
        <v>169</v>
      </c>
      <c r="G83" s="27" t="s">
        <v>319</v>
      </c>
      <c r="H83" s="27" t="str">
        <f aca="false">IFERROR(INDEX(Client_Master!$B$2:$B$41,MATCH(C83,Client_Master!$A$2:$A$41,0)),"UNKNOWN CLIENT")</f>
        <v>Nordic Precision Manufacturing GmbH</v>
      </c>
      <c r="I83" s="27" t="str">
        <f aca="false">IF(LEFT(D83,4)="Cash","Y","N")</f>
        <v>N</v>
      </c>
      <c r="J83" s="27" t="str">
        <f aca="false">IF(OR(D83="Cash Deposit",D83="Wire In"),"In","Out")</f>
        <v>Out</v>
      </c>
      <c r="K83" s="27" t="str">
        <f aca="false">IF(AND(I83="Y",E83&gt;=Assumptions!$B$6,E83&lt;=Assumptions!$B$5),"Y","N")</f>
        <v>N</v>
      </c>
      <c r="L83" s="27" t="n">
        <f aca="false">IFERROR(INDEX(Assumptions!$B$22:$B$39,MATCH(F83,Assumptions!$A$22:$A$39,0)),0)</f>
        <v>1</v>
      </c>
      <c r="M83" s="29" t="n">
        <f aca="false">IF(I83="Y",SUMIFS($E$2:$E$114,$C$2:$C$114,C83,$B$2:$B$114,B83,$I$2:$I$114,"Y",$J$2:$J$114,J83),0)</f>
        <v>0</v>
      </c>
      <c r="N83" s="27" t="str">
        <f aca="false">IF(M83&gt;Assumptions!$B$5,"CTR","")</f>
        <v/>
      </c>
      <c r="O83" s="27" t="str">
        <f aca="false">IFERROR(INDEX(Client_Master!$R$2:$R$41,MATCH(C83,Client_Master!$A$2:$A$41,0)),"No KYC record")</f>
        <v>Complete</v>
      </c>
    </row>
    <row r="84" customFormat="false" ht="15" hidden="false" customHeight="false" outlineLevel="0" collapsed="false">
      <c r="A84" s="27" t="s">
        <v>413</v>
      </c>
      <c r="B84" s="28" t="n">
        <v>46307</v>
      </c>
      <c r="C84" s="27" t="s">
        <v>225</v>
      </c>
      <c r="D84" s="27" t="s">
        <v>315</v>
      </c>
      <c r="E84" s="29" t="n">
        <v>42300</v>
      </c>
      <c r="F84" s="27" t="s">
        <v>169</v>
      </c>
      <c r="G84" s="27" t="s">
        <v>316</v>
      </c>
      <c r="H84" s="27" t="str">
        <f aca="false">IFERROR(INDEX(Client_Master!$B$2:$B$41,MATCH(C84,Client_Master!$A$2:$A$41,0)),"UNKNOWN CLIENT")</f>
        <v>Thames Consulting Partners LLP</v>
      </c>
      <c r="I84" s="27" t="str">
        <f aca="false">IF(LEFT(D84,4)="Cash","Y","N")</f>
        <v>N</v>
      </c>
      <c r="J84" s="27" t="str">
        <f aca="false">IF(OR(D84="Cash Deposit",D84="Wire In"),"In","Out")</f>
        <v>In</v>
      </c>
      <c r="K84" s="27" t="str">
        <f aca="false">IF(AND(I84="Y",E84&gt;=Assumptions!$B$6,E84&lt;=Assumptions!$B$5),"Y","N")</f>
        <v>N</v>
      </c>
      <c r="L84" s="27" t="n">
        <f aca="false">IFERROR(INDEX(Assumptions!$B$22:$B$39,MATCH(F84,Assumptions!$A$22:$A$39,0)),0)</f>
        <v>1</v>
      </c>
      <c r="M84" s="29" t="n">
        <f aca="false">IF(I84="Y",SUMIFS($E$2:$E$114,$C$2:$C$114,C84,$B$2:$B$114,B84,$I$2:$I$114,"Y",$J$2:$J$114,J84),0)</f>
        <v>0</v>
      </c>
      <c r="N84" s="27" t="str">
        <f aca="false">IF(M84&gt;Assumptions!$B$5,"CTR","")</f>
        <v/>
      </c>
      <c r="O84" s="27" t="str">
        <f aca="false">IFERROR(INDEX(Client_Master!$R$2:$R$41,MATCH(C84,Client_Master!$A$2:$A$41,0)),"No KYC record")</f>
        <v>Complete</v>
      </c>
    </row>
    <row r="85" customFormat="false" ht="15" hidden="false" customHeight="false" outlineLevel="0" collapsed="false">
      <c r="A85" s="27" t="s">
        <v>414</v>
      </c>
      <c r="B85" s="28" t="n">
        <v>46307</v>
      </c>
      <c r="C85" s="27" t="s">
        <v>243</v>
      </c>
      <c r="D85" s="27" t="s">
        <v>315</v>
      </c>
      <c r="E85" s="29" t="n">
        <v>18100</v>
      </c>
      <c r="F85" s="27" t="s">
        <v>169</v>
      </c>
      <c r="G85" s="27" t="s">
        <v>316</v>
      </c>
      <c r="H85" s="27" t="str">
        <f aca="false">IFERROR(INDEX(Client_Master!$B$2:$B$41,MATCH(C85,Client_Master!$A$2:$A$41,0)),"UNKNOWN CLIENT")</f>
        <v>Sakura Electronics KK</v>
      </c>
      <c r="I85" s="27" t="str">
        <f aca="false">IF(LEFT(D85,4)="Cash","Y","N")</f>
        <v>N</v>
      </c>
      <c r="J85" s="27" t="str">
        <f aca="false">IF(OR(D85="Cash Deposit",D85="Wire In"),"In","Out")</f>
        <v>In</v>
      </c>
      <c r="K85" s="27" t="str">
        <f aca="false">IF(AND(I85="Y",E85&gt;=Assumptions!$B$6,E85&lt;=Assumptions!$B$5),"Y","N")</f>
        <v>N</v>
      </c>
      <c r="L85" s="27" t="n">
        <f aca="false">IFERROR(INDEX(Assumptions!$B$22:$B$39,MATCH(F85,Assumptions!$A$22:$A$39,0)),0)</f>
        <v>1</v>
      </c>
      <c r="M85" s="29" t="n">
        <f aca="false">IF(I85="Y",SUMIFS($E$2:$E$114,$C$2:$C$114,C85,$B$2:$B$114,B85,$I$2:$I$114,"Y",$J$2:$J$114,J85),0)</f>
        <v>0</v>
      </c>
      <c r="N85" s="27" t="str">
        <f aca="false">IF(M85&gt;Assumptions!$B$5,"CTR","")</f>
        <v/>
      </c>
      <c r="O85" s="27" t="str">
        <f aca="false">IFERROR(INDEX(Client_Master!$R$2:$R$41,MATCH(C85,Client_Master!$A$2:$A$41,0)),"No KYC record")</f>
        <v>Complete</v>
      </c>
    </row>
    <row r="86" customFormat="false" ht="15" hidden="false" customHeight="false" outlineLevel="0" collapsed="false">
      <c r="A86" s="27" t="s">
        <v>415</v>
      </c>
      <c r="B86" s="28" t="n">
        <v>46307</v>
      </c>
      <c r="C86" s="27" t="s">
        <v>251</v>
      </c>
      <c r="D86" s="27" t="s">
        <v>315</v>
      </c>
      <c r="E86" s="29" t="n">
        <v>32700</v>
      </c>
      <c r="F86" s="27" t="s">
        <v>167</v>
      </c>
      <c r="G86" s="27" t="s">
        <v>316</v>
      </c>
      <c r="H86" s="27" t="str">
        <f aca="false">IFERROR(INDEX(Client_Master!$B$2:$B$41,MATCH(C86,Client_Master!$A$2:$A$41,0)),"UNKNOWN CLIENT")</f>
        <v>Evergreen Charitable Foundation</v>
      </c>
      <c r="I86" s="27" t="str">
        <f aca="false">IF(LEFT(D86,4)="Cash","Y","N")</f>
        <v>N</v>
      </c>
      <c r="J86" s="27" t="str">
        <f aca="false">IF(OR(D86="Cash Deposit",D86="Wire In"),"In","Out")</f>
        <v>In</v>
      </c>
      <c r="K86" s="27" t="str">
        <f aca="false">IF(AND(I86="Y",E86&gt;=Assumptions!$B$6,E86&lt;=Assumptions!$B$5),"Y","N")</f>
        <v>N</v>
      </c>
      <c r="L86" s="27" t="n">
        <f aca="false">IFERROR(INDEX(Assumptions!$B$22:$B$39,MATCH(F86,Assumptions!$A$22:$A$39,0)),0)</f>
        <v>0</v>
      </c>
      <c r="M86" s="29" t="n">
        <f aca="false">IF(I86="Y",SUMIFS($E$2:$E$114,$C$2:$C$114,C86,$B$2:$B$114,B86,$I$2:$I$114,"Y",$J$2:$J$114,J86),0)</f>
        <v>0</v>
      </c>
      <c r="N86" s="27" t="str">
        <f aca="false">IF(M86&gt;Assumptions!$B$5,"CTR","")</f>
        <v/>
      </c>
      <c r="O86" s="27" t="str">
        <f aca="false">IFERROR(INDEX(Client_Master!$R$2:$R$41,MATCH(C86,Client_Master!$A$2:$A$41,0)),"No KYC record")</f>
        <v>Incomplete - Docs</v>
      </c>
    </row>
    <row r="87" customFormat="false" ht="15" hidden="false" customHeight="false" outlineLevel="0" collapsed="false">
      <c r="A87" s="27" t="s">
        <v>416</v>
      </c>
      <c r="B87" s="28" t="n">
        <v>46307</v>
      </c>
      <c r="C87" s="27" t="s">
        <v>255</v>
      </c>
      <c r="D87" s="27" t="s">
        <v>332</v>
      </c>
      <c r="E87" s="29" t="n">
        <v>9500</v>
      </c>
      <c r="F87" s="27" t="s">
        <v>148</v>
      </c>
      <c r="G87" s="27" t="s">
        <v>333</v>
      </c>
      <c r="H87" s="27" t="str">
        <f aca="false">IFERROR(INDEX(Client_Master!$B$2:$B$41,MATCH(C87,Client_Master!$A$2:$A$41,0)),"UNKNOWN CLIENT")</f>
        <v>Metro Fuel &amp; Convenience Stores Inc</v>
      </c>
      <c r="I87" s="27" t="str">
        <f aca="false">IF(LEFT(D87,4)="Cash","Y","N")</f>
        <v>Y</v>
      </c>
      <c r="J87" s="27" t="str">
        <f aca="false">IF(OR(D87="Cash Deposit",D87="Wire In"),"In","Out")</f>
        <v>In</v>
      </c>
      <c r="K87" s="27" t="str">
        <f aca="false">IF(AND(I87="Y",E87&gt;=Assumptions!$B$6,E87&lt;=Assumptions!$B$5),"Y","N")</f>
        <v>Y</v>
      </c>
      <c r="L87" s="27" t="n">
        <f aca="false">IFERROR(INDEX(Assumptions!$B$22:$B$39,MATCH(F87,Assumptions!$A$22:$A$39,0)),0)</f>
        <v>0</v>
      </c>
      <c r="M87" s="29" t="n">
        <f aca="false">IF(I87="Y",SUMIFS($E$2:$E$114,$C$2:$C$114,C87,$B$2:$B$114,B87,$I$2:$I$114,"Y",$J$2:$J$114,J87),0)</f>
        <v>9500</v>
      </c>
      <c r="N87" s="27" t="str">
        <f aca="false">IF(M87&gt;Assumptions!$B$5,"CTR","")</f>
        <v/>
      </c>
      <c r="O87" s="27" t="str">
        <f aca="false">IFERROR(INDEX(Client_Master!$R$2:$R$41,MATCH(C87,Client_Master!$A$2:$A$41,0)),"No KYC record")</f>
        <v>Complete</v>
      </c>
    </row>
    <row r="88" customFormat="false" ht="15" hidden="false" customHeight="false" outlineLevel="0" collapsed="false">
      <c r="A88" s="27" t="s">
        <v>417</v>
      </c>
      <c r="B88" s="28" t="n">
        <v>46307</v>
      </c>
      <c r="C88" s="27" t="s">
        <v>286</v>
      </c>
      <c r="D88" s="27" t="s">
        <v>318</v>
      </c>
      <c r="E88" s="29" t="n">
        <v>81200</v>
      </c>
      <c r="F88" s="27" t="s">
        <v>161</v>
      </c>
      <c r="G88" s="27" t="s">
        <v>319</v>
      </c>
      <c r="H88" s="27" t="str">
        <f aca="false">IFERROR(INDEX(Client_Master!$B$2:$B$41,MATCH(C88,Client_Master!$A$2:$A$41,0)),"UNKNOWN CLIENT")</f>
        <v>Granite Peak Mining Services Ltd</v>
      </c>
      <c r="I88" s="27" t="str">
        <f aca="false">IF(LEFT(D88,4)="Cash","Y","N")</f>
        <v>N</v>
      </c>
      <c r="J88" s="27" t="str">
        <f aca="false">IF(OR(D88="Cash Deposit",D88="Wire In"),"In","Out")</f>
        <v>Out</v>
      </c>
      <c r="K88" s="27" t="str">
        <f aca="false">IF(AND(I88="Y",E88&gt;=Assumptions!$B$6,E88&lt;=Assumptions!$B$5),"Y","N")</f>
        <v>N</v>
      </c>
      <c r="L88" s="27" t="n">
        <f aca="false">IFERROR(INDEX(Assumptions!$B$22:$B$39,MATCH(F88,Assumptions!$A$22:$A$39,0)),0)</f>
        <v>0</v>
      </c>
      <c r="M88" s="29" t="n">
        <f aca="false">IF(I88="Y",SUMIFS($E$2:$E$114,$C$2:$C$114,C88,$B$2:$B$114,B88,$I$2:$I$114,"Y",$J$2:$J$114,J88),0)</f>
        <v>0</v>
      </c>
      <c r="N88" s="27" t="str">
        <f aca="false">IF(M88&gt;Assumptions!$B$5,"CTR","")</f>
        <v/>
      </c>
      <c r="O88" s="27" t="str">
        <f aca="false">IFERROR(INDEX(Client_Master!$R$2:$R$41,MATCH(C88,Client_Master!$A$2:$A$41,0)),"No KYC record")</f>
        <v>Complete</v>
      </c>
    </row>
    <row r="89" customFormat="false" ht="15" hidden="false" customHeight="false" outlineLevel="0" collapsed="false">
      <c r="A89" s="27" t="s">
        <v>418</v>
      </c>
      <c r="B89" s="28" t="n">
        <v>46308</v>
      </c>
      <c r="C89" s="27" t="s">
        <v>245</v>
      </c>
      <c r="D89" s="27" t="s">
        <v>315</v>
      </c>
      <c r="E89" s="29" t="n">
        <v>16000</v>
      </c>
      <c r="F89" s="27" t="s">
        <v>169</v>
      </c>
      <c r="G89" s="27" t="s">
        <v>316</v>
      </c>
      <c r="H89" s="27" t="str">
        <f aca="false">IFERROR(INDEX(Client_Master!$B$2:$B$41,MATCH(C89,Client_Master!$A$2:$A$41,0)),"UNKNOWN CLIENT")</f>
        <v>Maple Leaf Health Clinics Inc</v>
      </c>
      <c r="I89" s="27" t="str">
        <f aca="false">IF(LEFT(D89,4)="Cash","Y","N")</f>
        <v>N</v>
      </c>
      <c r="J89" s="27" t="str">
        <f aca="false">IF(OR(D89="Cash Deposit",D89="Wire In"),"In","Out")</f>
        <v>In</v>
      </c>
      <c r="K89" s="27" t="str">
        <f aca="false">IF(AND(I89="Y",E89&gt;=Assumptions!$B$6,E89&lt;=Assumptions!$B$5),"Y","N")</f>
        <v>N</v>
      </c>
      <c r="L89" s="27" t="n">
        <f aca="false">IFERROR(INDEX(Assumptions!$B$22:$B$39,MATCH(F89,Assumptions!$A$22:$A$39,0)),0)</f>
        <v>1</v>
      </c>
      <c r="M89" s="29" t="n">
        <f aca="false">IF(I89="Y",SUMIFS($E$2:$E$114,$C$2:$C$114,C89,$B$2:$B$114,B89,$I$2:$I$114,"Y",$J$2:$J$114,J89),0)</f>
        <v>0</v>
      </c>
      <c r="N89" s="27" t="str">
        <f aca="false">IF(M89&gt;Assumptions!$B$5,"CTR","")</f>
        <v/>
      </c>
      <c r="O89" s="27" t="str">
        <f aca="false">IFERROR(INDEX(Client_Master!$R$2:$R$41,MATCH(C89,Client_Master!$A$2:$A$41,0)),"No KYC record")</f>
        <v>Complete</v>
      </c>
    </row>
    <row r="90" customFormat="false" ht="15" hidden="false" customHeight="false" outlineLevel="0" collapsed="false">
      <c r="A90" s="27" t="s">
        <v>419</v>
      </c>
      <c r="B90" s="28" t="n">
        <v>46308</v>
      </c>
      <c r="C90" s="27" t="s">
        <v>255</v>
      </c>
      <c r="D90" s="27" t="s">
        <v>332</v>
      </c>
      <c r="E90" s="29" t="n">
        <v>9800</v>
      </c>
      <c r="F90" s="27" t="s">
        <v>148</v>
      </c>
      <c r="G90" s="27" t="s">
        <v>333</v>
      </c>
      <c r="H90" s="27" t="str">
        <f aca="false">IFERROR(INDEX(Client_Master!$B$2:$B$41,MATCH(C90,Client_Master!$A$2:$A$41,0)),"UNKNOWN CLIENT")</f>
        <v>Metro Fuel &amp; Convenience Stores Inc</v>
      </c>
      <c r="I90" s="27" t="str">
        <f aca="false">IF(LEFT(D90,4)="Cash","Y","N")</f>
        <v>Y</v>
      </c>
      <c r="J90" s="27" t="str">
        <f aca="false">IF(OR(D90="Cash Deposit",D90="Wire In"),"In","Out")</f>
        <v>In</v>
      </c>
      <c r="K90" s="27" t="str">
        <f aca="false">IF(AND(I90="Y",E90&gt;=Assumptions!$B$6,E90&lt;=Assumptions!$B$5),"Y","N")</f>
        <v>Y</v>
      </c>
      <c r="L90" s="27" t="n">
        <f aca="false">IFERROR(INDEX(Assumptions!$B$22:$B$39,MATCH(F90,Assumptions!$A$22:$A$39,0)),0)</f>
        <v>0</v>
      </c>
      <c r="M90" s="29" t="n">
        <f aca="false">IF(I90="Y",SUMIFS($E$2:$E$114,$C$2:$C$114,C90,$B$2:$B$114,B90,$I$2:$I$114,"Y",$J$2:$J$114,J90),0)</f>
        <v>9800</v>
      </c>
      <c r="N90" s="27" t="str">
        <f aca="false">IF(M90&gt;Assumptions!$B$5,"CTR","")</f>
        <v/>
      </c>
      <c r="O90" s="27" t="str">
        <f aca="false">IFERROR(INDEX(Client_Master!$R$2:$R$41,MATCH(C90,Client_Master!$A$2:$A$41,0)),"No KYC record")</f>
        <v>Complete</v>
      </c>
    </row>
    <row r="91" customFormat="false" ht="15" hidden="false" customHeight="false" outlineLevel="0" collapsed="false">
      <c r="A91" s="27" t="s">
        <v>420</v>
      </c>
      <c r="B91" s="28" t="n">
        <v>46308</v>
      </c>
      <c r="C91" s="27" t="s">
        <v>296</v>
      </c>
      <c r="D91" s="27" t="s">
        <v>332</v>
      </c>
      <c r="E91" s="29" t="n">
        <v>5400</v>
      </c>
      <c r="F91" s="27" t="s">
        <v>152</v>
      </c>
      <c r="G91" s="27" t="s">
        <v>336</v>
      </c>
      <c r="H91" s="27" t="str">
        <f aca="false">IFERROR(INDEX(Client_Master!$B$2:$B$41,MATCH(C91,Client_Master!$A$2:$A$41,0)),"UNKNOWN CLIENT")</f>
        <v>Ridgeway Used Cars Ltd</v>
      </c>
      <c r="I91" s="27" t="str">
        <f aca="false">IF(LEFT(D91,4)="Cash","Y","N")</f>
        <v>Y</v>
      </c>
      <c r="J91" s="27" t="str">
        <f aca="false">IF(OR(D91="Cash Deposit",D91="Wire In"),"In","Out")</f>
        <v>In</v>
      </c>
      <c r="K91" s="27" t="str">
        <f aca="false">IF(AND(I91="Y",E91&gt;=Assumptions!$B$6,E91&lt;=Assumptions!$B$5),"Y","N")</f>
        <v>N</v>
      </c>
      <c r="L91" s="27" t="n">
        <f aca="false">IFERROR(INDEX(Assumptions!$B$22:$B$39,MATCH(F91,Assumptions!$A$22:$A$39,0)),0)</f>
        <v>0</v>
      </c>
      <c r="M91" s="29" t="n">
        <f aca="false">IF(I91="Y",SUMIFS($E$2:$E$114,$C$2:$C$114,C91,$B$2:$B$114,B91,$I$2:$I$114,"Y",$J$2:$J$114,J91),0)</f>
        <v>5400</v>
      </c>
      <c r="N91" s="27" t="str">
        <f aca="false">IF(M91&gt;Assumptions!$B$5,"CTR","")</f>
        <v/>
      </c>
      <c r="O91" s="27" t="str">
        <f aca="false">IFERROR(INDEX(Client_Master!$R$2:$R$41,MATCH(C91,Client_Master!$A$2:$A$41,0)),"No KYC record")</f>
        <v>Complete</v>
      </c>
    </row>
    <row r="92" customFormat="false" ht="15" hidden="false" customHeight="false" outlineLevel="0" collapsed="false">
      <c r="A92" s="27" t="s">
        <v>421</v>
      </c>
      <c r="B92" s="28" t="n">
        <v>46309</v>
      </c>
      <c r="C92" s="27" t="s">
        <v>225</v>
      </c>
      <c r="D92" s="27" t="s">
        <v>318</v>
      </c>
      <c r="E92" s="29" t="n">
        <v>48500</v>
      </c>
      <c r="F92" s="27" t="s">
        <v>167</v>
      </c>
      <c r="G92" s="27" t="s">
        <v>319</v>
      </c>
      <c r="H92" s="27" t="str">
        <f aca="false">IFERROR(INDEX(Client_Master!$B$2:$B$41,MATCH(C92,Client_Master!$A$2:$A$41,0)),"UNKNOWN CLIENT")</f>
        <v>Thames Consulting Partners LLP</v>
      </c>
      <c r="I92" s="27" t="str">
        <f aca="false">IF(LEFT(D92,4)="Cash","Y","N")</f>
        <v>N</v>
      </c>
      <c r="J92" s="27" t="str">
        <f aca="false">IF(OR(D92="Cash Deposit",D92="Wire In"),"In","Out")</f>
        <v>Out</v>
      </c>
      <c r="K92" s="27" t="str">
        <f aca="false">IF(AND(I92="Y",E92&gt;=Assumptions!$B$6,E92&lt;=Assumptions!$B$5),"Y","N")</f>
        <v>N</v>
      </c>
      <c r="L92" s="27" t="n">
        <f aca="false">IFERROR(INDEX(Assumptions!$B$22:$B$39,MATCH(F92,Assumptions!$A$22:$A$39,0)),0)</f>
        <v>0</v>
      </c>
      <c r="M92" s="29" t="n">
        <f aca="false">IF(I92="Y",SUMIFS($E$2:$E$114,$C$2:$C$114,C92,$B$2:$B$114,B92,$I$2:$I$114,"Y",$J$2:$J$114,J92),0)</f>
        <v>0</v>
      </c>
      <c r="N92" s="27" t="str">
        <f aca="false">IF(M92&gt;Assumptions!$B$5,"CTR","")</f>
        <v/>
      </c>
      <c r="O92" s="27" t="str">
        <f aca="false">IFERROR(INDEX(Client_Master!$R$2:$R$41,MATCH(C92,Client_Master!$A$2:$A$41,0)),"No KYC record")</f>
        <v>Complete</v>
      </c>
    </row>
    <row r="93" customFormat="false" ht="15" hidden="false" customHeight="false" outlineLevel="0" collapsed="false">
      <c r="A93" s="27" t="s">
        <v>422</v>
      </c>
      <c r="B93" s="28" t="n">
        <v>46309</v>
      </c>
      <c r="C93" s="27" t="s">
        <v>288</v>
      </c>
      <c r="D93" s="27" t="s">
        <v>318</v>
      </c>
      <c r="E93" s="29" t="n">
        <v>28000</v>
      </c>
      <c r="F93" s="27" t="s">
        <v>174</v>
      </c>
      <c r="G93" s="27" t="s">
        <v>423</v>
      </c>
      <c r="H93" s="27" t="str">
        <f aca="false">IFERROR(INDEX(Client_Master!$B$2:$B$41,MATCH(C93,Client_Master!$A$2:$A$41,0)),"UNKNOWN CLIENT")</f>
        <v>Baltic Star Shipping Ltd</v>
      </c>
      <c r="I93" s="27" t="str">
        <f aca="false">IF(LEFT(D93,4)="Cash","Y","N")</f>
        <v>N</v>
      </c>
      <c r="J93" s="27" t="str">
        <f aca="false">IF(OR(D93="Cash Deposit",D93="Wire In"),"In","Out")</f>
        <v>Out</v>
      </c>
      <c r="K93" s="27" t="str">
        <f aca="false">IF(AND(I93="Y",E93&gt;=Assumptions!$B$6,E93&lt;=Assumptions!$B$5),"Y","N")</f>
        <v>N</v>
      </c>
      <c r="L93" s="27" t="n">
        <f aca="false">IFERROR(INDEX(Assumptions!$B$22:$B$39,MATCH(F93,Assumptions!$A$22:$A$39,0)),0)</f>
        <v>1</v>
      </c>
      <c r="M93" s="29" t="n">
        <f aca="false">IF(I93="Y",SUMIFS($E$2:$E$114,$C$2:$C$114,C93,$B$2:$B$114,B93,$I$2:$I$114,"Y",$J$2:$J$114,J93),0)</f>
        <v>0</v>
      </c>
      <c r="N93" s="27" t="str">
        <f aca="false">IF(M93&gt;Assumptions!$B$5,"CTR","")</f>
        <v/>
      </c>
      <c r="O93" s="27" t="str">
        <f aca="false">IFERROR(INDEX(Client_Master!$R$2:$R$41,MATCH(C93,Client_Master!$A$2:$A$41,0)),"No KYC record")</f>
        <v>Incomplete - Screening</v>
      </c>
    </row>
    <row r="94" customFormat="false" ht="15" hidden="false" customHeight="false" outlineLevel="0" collapsed="false">
      <c r="A94" s="27" t="s">
        <v>424</v>
      </c>
      <c r="B94" s="28" t="n">
        <v>46309</v>
      </c>
      <c r="C94" s="27" t="s">
        <v>411</v>
      </c>
      <c r="D94" s="27" t="s">
        <v>315</v>
      </c>
      <c r="E94" s="29" t="n">
        <v>52000</v>
      </c>
      <c r="F94" s="27" t="s">
        <v>148</v>
      </c>
      <c r="G94" s="27" t="s">
        <v>425</v>
      </c>
      <c r="H94" s="27" t="str">
        <f aca="false">IFERROR(INDEX(Client_Master!$B$2:$B$41,MATCH(C94,Client_Master!$A$2:$A$41,0)),"UNKNOWN CLIENT")</f>
        <v>UNKNOWN CLIENT</v>
      </c>
      <c r="I94" s="27" t="str">
        <f aca="false">IF(LEFT(D94,4)="Cash","Y","N")</f>
        <v>N</v>
      </c>
      <c r="J94" s="27" t="str">
        <f aca="false">IF(OR(D94="Cash Deposit",D94="Wire In"),"In","Out")</f>
        <v>In</v>
      </c>
      <c r="K94" s="27" t="str">
        <f aca="false">IF(AND(I94="Y",E94&gt;=Assumptions!$B$6,E94&lt;=Assumptions!$B$5),"Y","N")</f>
        <v>N</v>
      </c>
      <c r="L94" s="27" t="n">
        <f aca="false">IFERROR(INDEX(Assumptions!$B$22:$B$39,MATCH(F94,Assumptions!$A$22:$A$39,0)),0)</f>
        <v>0</v>
      </c>
      <c r="M94" s="29" t="n">
        <f aca="false">IF(I94="Y",SUMIFS($E$2:$E$114,$C$2:$C$114,C94,$B$2:$B$114,B94,$I$2:$I$114,"Y",$J$2:$J$114,J94),0)</f>
        <v>0</v>
      </c>
      <c r="N94" s="27" t="str">
        <f aca="false">IF(M94&gt;Assumptions!$B$5,"CTR","")</f>
        <v/>
      </c>
      <c r="O94" s="27" t="str">
        <f aca="false">IFERROR(INDEX(Client_Master!$R$2:$R$41,MATCH(C94,Client_Master!$A$2:$A$41,0)),"No KYC record")</f>
        <v>No KYC record</v>
      </c>
    </row>
    <row r="95" customFormat="false" ht="15" hidden="false" customHeight="false" outlineLevel="0" collapsed="false">
      <c r="A95" s="27" t="s">
        <v>426</v>
      </c>
      <c r="B95" s="28" t="n">
        <v>46310</v>
      </c>
      <c r="C95" s="27" t="s">
        <v>216</v>
      </c>
      <c r="D95" s="27" t="s">
        <v>315</v>
      </c>
      <c r="E95" s="29" t="n">
        <v>53900</v>
      </c>
      <c r="F95" s="27" t="s">
        <v>155</v>
      </c>
      <c r="G95" s="27" t="s">
        <v>316</v>
      </c>
      <c r="H95" s="27" t="str">
        <f aca="false">IFERROR(INDEX(Client_Master!$B$2:$B$41,MATCH(C95,Client_Master!$A$2:$A$41,0)),"UNKNOWN CLIENT")</f>
        <v>Aurora Software Solutions Pvt Ltd</v>
      </c>
      <c r="I95" s="27" t="str">
        <f aca="false">IF(LEFT(D95,4)="Cash","Y","N")</f>
        <v>N</v>
      </c>
      <c r="J95" s="27" t="str">
        <f aca="false">IF(OR(D95="Cash Deposit",D95="Wire In"),"In","Out")</f>
        <v>In</v>
      </c>
      <c r="K95" s="27" t="str">
        <f aca="false">IF(AND(I95="Y",E95&gt;=Assumptions!$B$6,E95&lt;=Assumptions!$B$5),"Y","N")</f>
        <v>N</v>
      </c>
      <c r="L95" s="27" t="n">
        <f aca="false">IFERROR(INDEX(Assumptions!$B$22:$B$39,MATCH(F95,Assumptions!$A$22:$A$39,0)),0)</f>
        <v>0</v>
      </c>
      <c r="M95" s="29" t="n">
        <f aca="false">IF(I95="Y",SUMIFS($E$2:$E$114,$C$2:$C$114,C95,$B$2:$B$114,B95,$I$2:$I$114,"Y",$J$2:$J$114,J95),0)</f>
        <v>0</v>
      </c>
      <c r="N95" s="27" t="str">
        <f aca="false">IF(M95&gt;Assumptions!$B$5,"CTR","")</f>
        <v/>
      </c>
      <c r="O95" s="27" t="str">
        <f aca="false">IFERROR(INDEX(Client_Master!$R$2:$R$41,MATCH(C95,Client_Master!$A$2:$A$41,0)),"No KYC record")</f>
        <v>Complete</v>
      </c>
    </row>
    <row r="96" customFormat="false" ht="15" hidden="false" customHeight="false" outlineLevel="0" collapsed="false">
      <c r="A96" s="27" t="s">
        <v>427</v>
      </c>
      <c r="B96" s="28" t="n">
        <v>46310</v>
      </c>
      <c r="C96" s="27" t="s">
        <v>223</v>
      </c>
      <c r="D96" s="27" t="s">
        <v>318</v>
      </c>
      <c r="E96" s="29" t="n">
        <v>73400</v>
      </c>
      <c r="F96" s="27" t="s">
        <v>165</v>
      </c>
      <c r="G96" s="27" t="s">
        <v>319</v>
      </c>
      <c r="H96" s="27" t="str">
        <f aca="false">IFERROR(INDEX(Client_Master!$B$2:$B$41,MATCH(C96,Client_Master!$A$2:$A$41,0)),"UNKNOWN CLIENT")</f>
        <v>Lotus Healthcare Systems Ltd</v>
      </c>
      <c r="I96" s="27" t="str">
        <f aca="false">IF(LEFT(D96,4)="Cash","Y","N")</f>
        <v>N</v>
      </c>
      <c r="J96" s="27" t="str">
        <f aca="false">IF(OR(D96="Cash Deposit",D96="Wire In"),"In","Out")</f>
        <v>Out</v>
      </c>
      <c r="K96" s="27" t="str">
        <f aca="false">IF(AND(I96="Y",E96&gt;=Assumptions!$B$6,E96&lt;=Assumptions!$B$5),"Y","N")</f>
        <v>N</v>
      </c>
      <c r="L96" s="27" t="n">
        <f aca="false">IFERROR(INDEX(Assumptions!$B$22:$B$39,MATCH(F96,Assumptions!$A$22:$A$39,0)),0)</f>
        <v>0</v>
      </c>
      <c r="M96" s="29" t="n">
        <f aca="false">IF(I96="Y",SUMIFS($E$2:$E$114,$C$2:$C$114,C96,$B$2:$B$114,B96,$I$2:$I$114,"Y",$J$2:$J$114,J96),0)</f>
        <v>0</v>
      </c>
      <c r="N96" s="27" t="str">
        <f aca="false">IF(M96&gt;Assumptions!$B$5,"CTR","")</f>
        <v/>
      </c>
      <c r="O96" s="27" t="str">
        <f aca="false">IFERROR(INDEX(Client_Master!$R$2:$R$41,MATCH(C96,Client_Master!$A$2:$A$41,0)),"No KYC record")</f>
        <v>Complete</v>
      </c>
    </row>
    <row r="97" customFormat="false" ht="15" hidden="false" customHeight="false" outlineLevel="0" collapsed="false">
      <c r="A97" s="27" t="s">
        <v>428</v>
      </c>
      <c r="B97" s="28" t="n">
        <v>46310</v>
      </c>
      <c r="C97" s="27" t="s">
        <v>255</v>
      </c>
      <c r="D97" s="27" t="s">
        <v>332</v>
      </c>
      <c r="E97" s="29" t="n">
        <v>9200</v>
      </c>
      <c r="F97" s="27" t="s">
        <v>148</v>
      </c>
      <c r="G97" s="27" t="s">
        <v>333</v>
      </c>
      <c r="H97" s="27" t="str">
        <f aca="false">IFERROR(INDEX(Client_Master!$B$2:$B$41,MATCH(C97,Client_Master!$A$2:$A$41,0)),"UNKNOWN CLIENT")</f>
        <v>Metro Fuel &amp; Convenience Stores Inc</v>
      </c>
      <c r="I97" s="27" t="str">
        <f aca="false">IF(LEFT(D97,4)="Cash","Y","N")</f>
        <v>Y</v>
      </c>
      <c r="J97" s="27" t="str">
        <f aca="false">IF(OR(D97="Cash Deposit",D97="Wire In"),"In","Out")</f>
        <v>In</v>
      </c>
      <c r="K97" s="27" t="str">
        <f aca="false">IF(AND(I97="Y",E97&gt;=Assumptions!$B$6,E97&lt;=Assumptions!$B$5),"Y","N")</f>
        <v>Y</v>
      </c>
      <c r="L97" s="27" t="n">
        <f aca="false">IFERROR(INDEX(Assumptions!$B$22:$B$39,MATCH(F97,Assumptions!$A$22:$A$39,0)),0)</f>
        <v>0</v>
      </c>
      <c r="M97" s="29" t="n">
        <f aca="false">IF(I97="Y",SUMIFS($E$2:$E$114,$C$2:$C$114,C97,$B$2:$B$114,B97,$I$2:$I$114,"Y",$J$2:$J$114,J97),0)</f>
        <v>9200</v>
      </c>
      <c r="N97" s="27" t="str">
        <f aca="false">IF(M97&gt;Assumptions!$B$5,"CTR","")</f>
        <v/>
      </c>
      <c r="O97" s="27" t="str">
        <f aca="false">IFERROR(INDEX(Client_Master!$R$2:$R$41,MATCH(C97,Client_Master!$A$2:$A$41,0)),"No KYC record")</f>
        <v>Complete</v>
      </c>
    </row>
    <row r="98" customFormat="false" ht="15" hidden="false" customHeight="false" outlineLevel="0" collapsed="false">
      <c r="A98" s="27" t="s">
        <v>429</v>
      </c>
      <c r="B98" s="28" t="n">
        <v>46310</v>
      </c>
      <c r="C98" s="27" t="s">
        <v>259</v>
      </c>
      <c r="D98" s="27" t="s">
        <v>318</v>
      </c>
      <c r="E98" s="29" t="n">
        <v>28500</v>
      </c>
      <c r="F98" s="27" t="s">
        <v>152</v>
      </c>
      <c r="G98" s="27" t="s">
        <v>319</v>
      </c>
      <c r="H98" s="27" t="str">
        <f aca="false">IFERROR(INDEX(Client_Master!$B$2:$B$41,MATCH(C98,Client_Master!$A$2:$A$41,0)),"UNKNOWN CLIENT")</f>
        <v>Kestrel Engineering Services Pte Ltd</v>
      </c>
      <c r="I98" s="27" t="str">
        <f aca="false">IF(LEFT(D98,4)="Cash","Y","N")</f>
        <v>N</v>
      </c>
      <c r="J98" s="27" t="str">
        <f aca="false">IF(OR(D98="Cash Deposit",D98="Wire In"),"In","Out")</f>
        <v>Out</v>
      </c>
      <c r="K98" s="27" t="str">
        <f aca="false">IF(AND(I98="Y",E98&gt;=Assumptions!$B$6,E98&lt;=Assumptions!$B$5),"Y","N")</f>
        <v>N</v>
      </c>
      <c r="L98" s="27" t="n">
        <f aca="false">IFERROR(INDEX(Assumptions!$B$22:$B$39,MATCH(F98,Assumptions!$A$22:$A$39,0)),0)</f>
        <v>0</v>
      </c>
      <c r="M98" s="29" t="n">
        <f aca="false">IF(I98="Y",SUMIFS($E$2:$E$114,$C$2:$C$114,C98,$B$2:$B$114,B98,$I$2:$I$114,"Y",$J$2:$J$114,J98),0)</f>
        <v>0</v>
      </c>
      <c r="N98" s="27" t="str">
        <f aca="false">IF(M98&gt;Assumptions!$B$5,"CTR","")</f>
        <v/>
      </c>
      <c r="O98" s="27" t="str">
        <f aca="false">IFERROR(INDEX(Client_Master!$R$2:$R$41,MATCH(C98,Client_Master!$A$2:$A$41,0)),"No KYC record")</f>
        <v>Complete</v>
      </c>
    </row>
    <row r="99" customFormat="false" ht="15" hidden="false" customHeight="false" outlineLevel="0" collapsed="false">
      <c r="A99" s="27" t="s">
        <v>430</v>
      </c>
      <c r="B99" s="28" t="n">
        <v>46310</v>
      </c>
      <c r="C99" s="27" t="s">
        <v>286</v>
      </c>
      <c r="D99" s="27" t="s">
        <v>315</v>
      </c>
      <c r="E99" s="29" t="n">
        <v>83800</v>
      </c>
      <c r="F99" s="27" t="s">
        <v>165</v>
      </c>
      <c r="G99" s="27" t="s">
        <v>316</v>
      </c>
      <c r="H99" s="27" t="str">
        <f aca="false">IFERROR(INDEX(Client_Master!$B$2:$B$41,MATCH(C99,Client_Master!$A$2:$A$41,0)),"UNKNOWN CLIENT")</f>
        <v>Granite Peak Mining Services Ltd</v>
      </c>
      <c r="I99" s="27" t="str">
        <f aca="false">IF(LEFT(D99,4)="Cash","Y","N")</f>
        <v>N</v>
      </c>
      <c r="J99" s="27" t="str">
        <f aca="false">IF(OR(D99="Cash Deposit",D99="Wire In"),"In","Out")</f>
        <v>In</v>
      </c>
      <c r="K99" s="27" t="str">
        <f aca="false">IF(AND(I99="Y",E99&gt;=Assumptions!$B$6,E99&lt;=Assumptions!$B$5),"Y","N")</f>
        <v>N</v>
      </c>
      <c r="L99" s="27" t="n">
        <f aca="false">IFERROR(INDEX(Assumptions!$B$22:$B$39,MATCH(F99,Assumptions!$A$22:$A$39,0)),0)</f>
        <v>0</v>
      </c>
      <c r="M99" s="29" t="n">
        <f aca="false">IF(I99="Y",SUMIFS($E$2:$E$114,$C$2:$C$114,C99,$B$2:$B$114,B99,$I$2:$I$114,"Y",$J$2:$J$114,J99),0)</f>
        <v>0</v>
      </c>
      <c r="N99" s="27" t="str">
        <f aca="false">IF(M99&gt;Assumptions!$B$5,"CTR","")</f>
        <v/>
      </c>
      <c r="O99" s="27" t="str">
        <f aca="false">IFERROR(INDEX(Client_Master!$R$2:$R$41,MATCH(C99,Client_Master!$A$2:$A$41,0)),"No KYC record")</f>
        <v>Complete</v>
      </c>
    </row>
    <row r="100" customFormat="false" ht="15" hidden="false" customHeight="false" outlineLevel="0" collapsed="false">
      <c r="A100" s="27" t="s">
        <v>431</v>
      </c>
      <c r="B100" s="28" t="n">
        <v>46310</v>
      </c>
      <c r="C100" s="27" t="s">
        <v>293</v>
      </c>
      <c r="D100" s="27" t="s">
        <v>315</v>
      </c>
      <c r="E100" s="29" t="n">
        <v>40000</v>
      </c>
      <c r="F100" s="27" t="s">
        <v>155</v>
      </c>
      <c r="G100" s="27" t="s">
        <v>432</v>
      </c>
      <c r="H100" s="27" t="str">
        <f aca="false">IFERROR(INDEX(Client_Master!$B$2:$B$41,MATCH(C100,Client_Master!$A$2:$A$41,0)),"UNKNOWN CLIENT")</f>
        <v>Zenith Wellness Clinics Pvt Ltd</v>
      </c>
      <c r="I100" s="27" t="str">
        <f aca="false">IF(LEFT(D100,4)="Cash","Y","N")</f>
        <v>N</v>
      </c>
      <c r="J100" s="27" t="str">
        <f aca="false">IF(OR(D100="Cash Deposit",D100="Wire In"),"In","Out")</f>
        <v>In</v>
      </c>
      <c r="K100" s="27" t="str">
        <f aca="false">IF(AND(I100="Y",E100&gt;=Assumptions!$B$6,E100&lt;=Assumptions!$B$5),"Y","N")</f>
        <v>N</v>
      </c>
      <c r="L100" s="27" t="n">
        <f aca="false">IFERROR(INDEX(Assumptions!$B$22:$B$39,MATCH(F100,Assumptions!$A$22:$A$39,0)),0)</f>
        <v>0</v>
      </c>
      <c r="M100" s="29" t="n">
        <f aca="false">IF(I100="Y",SUMIFS($E$2:$E$114,$C$2:$C$114,C100,$B$2:$B$114,B100,$I$2:$I$114,"Y",$J$2:$J$114,J100),0)</f>
        <v>0</v>
      </c>
      <c r="N100" s="27" t="str">
        <f aca="false">IF(M100&gt;Assumptions!$B$5,"CTR","")</f>
        <v/>
      </c>
      <c r="O100" s="27" t="str">
        <f aca="false">IFERROR(INDEX(Client_Master!$R$2:$R$41,MATCH(C100,Client_Master!$A$2:$A$41,0)),"No KYC record")</f>
        <v>Incomplete - Docs</v>
      </c>
    </row>
    <row r="101" customFormat="false" ht="15" hidden="false" customHeight="false" outlineLevel="0" collapsed="false">
      <c r="A101" s="27" t="s">
        <v>433</v>
      </c>
      <c r="B101" s="28" t="n">
        <v>46311</v>
      </c>
      <c r="C101" s="27" t="s">
        <v>223</v>
      </c>
      <c r="D101" s="27" t="s">
        <v>318</v>
      </c>
      <c r="E101" s="29" t="n">
        <v>35600</v>
      </c>
      <c r="F101" s="27" t="s">
        <v>158</v>
      </c>
      <c r="G101" s="27" t="s">
        <v>319</v>
      </c>
      <c r="H101" s="27" t="str">
        <f aca="false">IFERROR(INDEX(Client_Master!$B$2:$B$41,MATCH(C101,Client_Master!$A$2:$A$41,0)),"UNKNOWN CLIENT")</f>
        <v>Lotus Healthcare Systems Ltd</v>
      </c>
      <c r="I101" s="27" t="str">
        <f aca="false">IF(LEFT(D101,4)="Cash","Y","N")</f>
        <v>N</v>
      </c>
      <c r="J101" s="27" t="str">
        <f aca="false">IF(OR(D101="Cash Deposit",D101="Wire In"),"In","Out")</f>
        <v>Out</v>
      </c>
      <c r="K101" s="27" t="str">
        <f aca="false">IF(AND(I101="Y",E101&gt;=Assumptions!$B$6,E101&lt;=Assumptions!$B$5),"Y","N")</f>
        <v>N</v>
      </c>
      <c r="L101" s="27" t="n">
        <f aca="false">IFERROR(INDEX(Assumptions!$B$22:$B$39,MATCH(F101,Assumptions!$A$22:$A$39,0)),0)</f>
        <v>0</v>
      </c>
      <c r="M101" s="29" t="n">
        <f aca="false">IF(I101="Y",SUMIFS($E$2:$E$114,$C$2:$C$114,C101,$B$2:$B$114,B101,$I$2:$I$114,"Y",$J$2:$J$114,J101),0)</f>
        <v>0</v>
      </c>
      <c r="N101" s="27" t="str">
        <f aca="false">IF(M101&gt;Assumptions!$B$5,"CTR","")</f>
        <v/>
      </c>
      <c r="O101" s="27" t="str">
        <f aca="false">IFERROR(INDEX(Client_Master!$R$2:$R$41,MATCH(C101,Client_Master!$A$2:$A$41,0)),"No KYC record")</f>
        <v>Complete</v>
      </c>
    </row>
    <row r="102" customFormat="false" ht="15" hidden="false" customHeight="false" outlineLevel="0" collapsed="false">
      <c r="A102" s="27" t="s">
        <v>434</v>
      </c>
      <c r="B102" s="28" t="n">
        <v>46311</v>
      </c>
      <c r="C102" s="27" t="s">
        <v>255</v>
      </c>
      <c r="D102" s="27" t="s">
        <v>332</v>
      </c>
      <c r="E102" s="29" t="n">
        <v>9700</v>
      </c>
      <c r="F102" s="27" t="s">
        <v>148</v>
      </c>
      <c r="G102" s="27" t="s">
        <v>333</v>
      </c>
      <c r="H102" s="27" t="str">
        <f aca="false">IFERROR(INDEX(Client_Master!$B$2:$B$41,MATCH(C102,Client_Master!$A$2:$A$41,0)),"UNKNOWN CLIENT")</f>
        <v>Metro Fuel &amp; Convenience Stores Inc</v>
      </c>
      <c r="I102" s="27" t="str">
        <f aca="false">IF(LEFT(D102,4)="Cash","Y","N")</f>
        <v>Y</v>
      </c>
      <c r="J102" s="27" t="str">
        <f aca="false">IF(OR(D102="Cash Deposit",D102="Wire In"),"In","Out")</f>
        <v>In</v>
      </c>
      <c r="K102" s="27" t="str">
        <f aca="false">IF(AND(I102="Y",E102&gt;=Assumptions!$B$6,E102&lt;=Assumptions!$B$5),"Y","N")</f>
        <v>Y</v>
      </c>
      <c r="L102" s="27" t="n">
        <f aca="false">IFERROR(INDEX(Assumptions!$B$22:$B$39,MATCH(F102,Assumptions!$A$22:$A$39,0)),0)</f>
        <v>0</v>
      </c>
      <c r="M102" s="29" t="n">
        <f aca="false">IF(I102="Y",SUMIFS($E$2:$E$114,$C$2:$C$114,C102,$B$2:$B$114,B102,$I$2:$I$114,"Y",$J$2:$J$114,J102),0)</f>
        <v>9700</v>
      </c>
      <c r="N102" s="27" t="str">
        <f aca="false">IF(M102&gt;Assumptions!$B$5,"CTR","")</f>
        <v/>
      </c>
      <c r="O102" s="27" t="str">
        <f aca="false">IFERROR(INDEX(Client_Master!$R$2:$R$41,MATCH(C102,Client_Master!$A$2:$A$41,0)),"No KYC record")</f>
        <v>Complete</v>
      </c>
    </row>
    <row r="103" customFormat="false" ht="15" hidden="false" customHeight="false" outlineLevel="0" collapsed="false">
      <c r="A103" s="27" t="s">
        <v>435</v>
      </c>
      <c r="B103" s="28" t="n">
        <v>46314</v>
      </c>
      <c r="C103" s="27" t="s">
        <v>253</v>
      </c>
      <c r="D103" s="27" t="s">
        <v>315</v>
      </c>
      <c r="E103" s="29" t="n">
        <v>86700</v>
      </c>
      <c r="F103" s="27" t="s">
        <v>163</v>
      </c>
      <c r="G103" s="27" t="s">
        <v>316</v>
      </c>
      <c r="H103" s="27" t="str">
        <f aca="false">IFERROR(INDEX(Client_Master!$B$2:$B$41,MATCH(C103,Client_Master!$A$2:$A$41,0)),"UNKNOWN CLIENT")</f>
        <v>Orion Freight Forwarders Pvt Ltd</v>
      </c>
      <c r="I103" s="27" t="str">
        <f aca="false">IF(LEFT(D103,4)="Cash","Y","N")</f>
        <v>N</v>
      </c>
      <c r="J103" s="27" t="str">
        <f aca="false">IF(OR(D103="Cash Deposit",D103="Wire In"),"In","Out")</f>
        <v>In</v>
      </c>
      <c r="K103" s="27" t="str">
        <f aca="false">IF(AND(I103="Y",E103&gt;=Assumptions!$B$6,E103&lt;=Assumptions!$B$5),"Y","N")</f>
        <v>N</v>
      </c>
      <c r="L103" s="27" t="n">
        <f aca="false">IFERROR(INDEX(Assumptions!$B$22:$B$39,MATCH(F103,Assumptions!$A$22:$A$39,0)),0)</f>
        <v>0</v>
      </c>
      <c r="M103" s="29" t="n">
        <f aca="false">IF(I103="Y",SUMIFS($E$2:$E$114,$C$2:$C$114,C103,$B$2:$B$114,B103,$I$2:$I$114,"Y",$J$2:$J$114,J103),0)</f>
        <v>0</v>
      </c>
      <c r="N103" s="27" t="str">
        <f aca="false">IF(M103&gt;Assumptions!$B$5,"CTR","")</f>
        <v/>
      </c>
      <c r="O103" s="27" t="str">
        <f aca="false">IFERROR(INDEX(Client_Master!$R$2:$R$41,MATCH(C103,Client_Master!$A$2:$A$41,0)),"No KYC record")</f>
        <v>Complete</v>
      </c>
    </row>
    <row r="104" customFormat="false" ht="15" hidden="false" customHeight="false" outlineLevel="0" collapsed="false">
      <c r="A104" s="27" t="s">
        <v>436</v>
      </c>
      <c r="B104" s="28" t="n">
        <v>46314</v>
      </c>
      <c r="C104" s="27" t="s">
        <v>273</v>
      </c>
      <c r="D104" s="27" t="s">
        <v>318</v>
      </c>
      <c r="E104" s="29" t="n">
        <v>21800</v>
      </c>
      <c r="F104" s="27" t="s">
        <v>148</v>
      </c>
      <c r="G104" s="27" t="s">
        <v>319</v>
      </c>
      <c r="H104" s="27" t="str">
        <f aca="false">IFERROR(INDEX(Client_Master!$B$2:$B$41,MATCH(C104,Client_Master!$A$2:$A$41,0)),"UNKNOWN CLIENT")</f>
        <v>Zurich Wealth Advisory AG</v>
      </c>
      <c r="I104" s="27" t="str">
        <f aca="false">IF(LEFT(D104,4)="Cash","Y","N")</f>
        <v>N</v>
      </c>
      <c r="J104" s="27" t="str">
        <f aca="false">IF(OR(D104="Cash Deposit",D104="Wire In"),"In","Out")</f>
        <v>Out</v>
      </c>
      <c r="K104" s="27" t="str">
        <f aca="false">IF(AND(I104="Y",E104&gt;=Assumptions!$B$6,E104&lt;=Assumptions!$B$5),"Y","N")</f>
        <v>N</v>
      </c>
      <c r="L104" s="27" t="n">
        <f aca="false">IFERROR(INDEX(Assumptions!$B$22:$B$39,MATCH(F104,Assumptions!$A$22:$A$39,0)),0)</f>
        <v>0</v>
      </c>
      <c r="M104" s="29" t="n">
        <f aca="false">IF(I104="Y",SUMIFS($E$2:$E$114,$C$2:$C$114,C104,$B$2:$B$114,B104,$I$2:$I$114,"Y",$J$2:$J$114,J104),0)</f>
        <v>0</v>
      </c>
      <c r="N104" s="27" t="str">
        <f aca="false">IF(M104&gt;Assumptions!$B$5,"CTR","")</f>
        <v/>
      </c>
      <c r="O104" s="27" t="str">
        <f aca="false">IFERROR(INDEX(Client_Master!$R$2:$R$41,MATCH(C104,Client_Master!$A$2:$A$41,0)),"No KYC record")</f>
        <v>Complete</v>
      </c>
    </row>
    <row r="105" customFormat="false" ht="15" hidden="false" customHeight="false" outlineLevel="0" collapsed="false">
      <c r="A105" s="27" t="s">
        <v>437</v>
      </c>
      <c r="B105" s="28" t="n">
        <v>46314</v>
      </c>
      <c r="C105" s="27" t="s">
        <v>279</v>
      </c>
      <c r="D105" s="27" t="s">
        <v>318</v>
      </c>
      <c r="E105" s="29" t="n">
        <v>80600</v>
      </c>
      <c r="F105" s="27" t="s">
        <v>155</v>
      </c>
      <c r="G105" s="27" t="s">
        <v>319</v>
      </c>
      <c r="H105" s="27" t="str">
        <f aca="false">IFERROR(INDEX(Client_Master!$B$2:$B$41,MATCH(C105,Client_Master!$A$2:$A$41,0)),"UNKNOWN CLIENT")</f>
        <v>Meridian Textile Exports Pvt Ltd</v>
      </c>
      <c r="I105" s="27" t="str">
        <f aca="false">IF(LEFT(D105,4)="Cash","Y","N")</f>
        <v>N</v>
      </c>
      <c r="J105" s="27" t="str">
        <f aca="false">IF(OR(D105="Cash Deposit",D105="Wire In"),"In","Out")</f>
        <v>Out</v>
      </c>
      <c r="K105" s="27" t="str">
        <f aca="false">IF(AND(I105="Y",E105&gt;=Assumptions!$B$6,E105&lt;=Assumptions!$B$5),"Y","N")</f>
        <v>N</v>
      </c>
      <c r="L105" s="27" t="n">
        <f aca="false">IFERROR(INDEX(Assumptions!$B$22:$B$39,MATCH(F105,Assumptions!$A$22:$A$39,0)),0)</f>
        <v>0</v>
      </c>
      <c r="M105" s="29" t="n">
        <f aca="false">IF(I105="Y",SUMIFS($E$2:$E$114,$C$2:$C$114,C105,$B$2:$B$114,B105,$I$2:$I$114,"Y",$J$2:$J$114,J105),0)</f>
        <v>0</v>
      </c>
      <c r="N105" s="27" t="str">
        <f aca="false">IF(M105&gt;Assumptions!$B$5,"CTR","")</f>
        <v/>
      </c>
      <c r="O105" s="27" t="str">
        <f aca="false">IFERROR(INDEX(Client_Master!$R$2:$R$41,MATCH(C105,Client_Master!$A$2:$A$41,0)),"No KYC record")</f>
        <v>Complete</v>
      </c>
    </row>
    <row r="106" customFormat="false" ht="15" hidden="false" customHeight="false" outlineLevel="0" collapsed="false">
      <c r="A106" s="27" t="s">
        <v>438</v>
      </c>
      <c r="B106" s="28" t="n">
        <v>46315</v>
      </c>
      <c r="C106" s="27" t="s">
        <v>241</v>
      </c>
      <c r="D106" s="27" t="s">
        <v>332</v>
      </c>
      <c r="E106" s="29" t="n">
        <v>14500</v>
      </c>
      <c r="F106" s="27" t="s">
        <v>148</v>
      </c>
      <c r="G106" s="27" t="s">
        <v>439</v>
      </c>
      <c r="H106" s="27" t="str">
        <f aca="false">IFERROR(INDEX(Client_Master!$B$2:$B$41,MATCH(C106,Client_Master!$A$2:$A$41,0)),"UNKNOWN CLIENT")</f>
        <v>Brightline Retail Holdings Inc</v>
      </c>
      <c r="I106" s="27" t="str">
        <f aca="false">IF(LEFT(D106,4)="Cash","Y","N")</f>
        <v>Y</v>
      </c>
      <c r="J106" s="27" t="str">
        <f aca="false">IF(OR(D106="Cash Deposit",D106="Wire In"),"In","Out")</f>
        <v>In</v>
      </c>
      <c r="K106" s="27" t="str">
        <f aca="false">IF(AND(I106="Y",E106&gt;=Assumptions!$B$6,E106&lt;=Assumptions!$B$5),"Y","N")</f>
        <v>N</v>
      </c>
      <c r="L106" s="27" t="n">
        <f aca="false">IFERROR(INDEX(Assumptions!$B$22:$B$39,MATCH(F106,Assumptions!$A$22:$A$39,0)),0)</f>
        <v>0</v>
      </c>
      <c r="M106" s="29" t="n">
        <f aca="false">IF(I106="Y",SUMIFS($E$2:$E$114,$C$2:$C$114,C106,$B$2:$B$114,B106,$I$2:$I$114,"Y",$J$2:$J$114,J106),0)</f>
        <v>14500</v>
      </c>
      <c r="N106" s="27" t="str">
        <f aca="false">IF(M106&gt;Assumptions!$B$5,"CTR","")</f>
        <v>CTR</v>
      </c>
      <c r="O106" s="27" t="str">
        <f aca="false">IFERROR(INDEX(Client_Master!$R$2:$R$41,MATCH(C106,Client_Master!$A$2:$A$41,0)),"No KYC record")</f>
        <v>Complete</v>
      </c>
    </row>
    <row r="107" customFormat="false" ht="15" hidden="false" customHeight="false" outlineLevel="0" collapsed="false">
      <c r="A107" s="27" t="s">
        <v>440</v>
      </c>
      <c r="B107" s="28" t="n">
        <v>46315</v>
      </c>
      <c r="C107" s="27" t="s">
        <v>257</v>
      </c>
      <c r="D107" s="27" t="s">
        <v>315</v>
      </c>
      <c r="E107" s="29" t="n">
        <v>53400</v>
      </c>
      <c r="F107" s="27" t="s">
        <v>161</v>
      </c>
      <c r="G107" s="27" t="s">
        <v>316</v>
      </c>
      <c r="H107" s="27" t="str">
        <f aca="false">IFERROR(INDEX(Client_Master!$B$2:$B$41,MATCH(C107,Client_Master!$A$2:$A$41,0)),"UNKNOWN CLIENT")</f>
        <v>Rhine Valley Pharma GmbH</v>
      </c>
      <c r="I107" s="27" t="str">
        <f aca="false">IF(LEFT(D107,4)="Cash","Y","N")</f>
        <v>N</v>
      </c>
      <c r="J107" s="27" t="str">
        <f aca="false">IF(OR(D107="Cash Deposit",D107="Wire In"),"In","Out")</f>
        <v>In</v>
      </c>
      <c r="K107" s="27" t="str">
        <f aca="false">IF(AND(I107="Y",E107&gt;=Assumptions!$B$6,E107&lt;=Assumptions!$B$5),"Y","N")</f>
        <v>N</v>
      </c>
      <c r="L107" s="27" t="n">
        <f aca="false">IFERROR(INDEX(Assumptions!$B$22:$B$39,MATCH(F107,Assumptions!$A$22:$A$39,0)),0)</f>
        <v>0</v>
      </c>
      <c r="M107" s="29" t="n">
        <f aca="false">IF(I107="Y",SUMIFS($E$2:$E$114,$C$2:$C$114,C107,$B$2:$B$114,B107,$I$2:$I$114,"Y",$J$2:$J$114,J107),0)</f>
        <v>0</v>
      </c>
      <c r="N107" s="27" t="str">
        <f aca="false">IF(M107&gt;Assumptions!$B$5,"CTR","")</f>
        <v/>
      </c>
      <c r="O107" s="27" t="str">
        <f aca="false">IFERROR(INDEX(Client_Master!$R$2:$R$41,MATCH(C107,Client_Master!$A$2:$A$41,0)),"No KYC record")</f>
        <v>Complete</v>
      </c>
    </row>
    <row r="108" customFormat="false" ht="15" hidden="false" customHeight="false" outlineLevel="0" collapsed="false">
      <c r="A108" s="27" t="s">
        <v>441</v>
      </c>
      <c r="B108" s="28" t="n">
        <v>46315</v>
      </c>
      <c r="C108" s="27" t="s">
        <v>259</v>
      </c>
      <c r="D108" s="27" t="s">
        <v>315</v>
      </c>
      <c r="E108" s="29" t="n">
        <v>13600</v>
      </c>
      <c r="F108" s="27" t="s">
        <v>161</v>
      </c>
      <c r="G108" s="27" t="s">
        <v>316</v>
      </c>
      <c r="H108" s="27" t="str">
        <f aca="false">IFERROR(INDEX(Client_Master!$B$2:$B$41,MATCH(C108,Client_Master!$A$2:$A$41,0)),"UNKNOWN CLIENT")</f>
        <v>Kestrel Engineering Services Pte Ltd</v>
      </c>
      <c r="I108" s="27" t="str">
        <f aca="false">IF(LEFT(D108,4)="Cash","Y","N")</f>
        <v>N</v>
      </c>
      <c r="J108" s="27" t="str">
        <f aca="false">IF(OR(D108="Cash Deposit",D108="Wire In"),"In","Out")</f>
        <v>In</v>
      </c>
      <c r="K108" s="27" t="str">
        <f aca="false">IF(AND(I108="Y",E108&gt;=Assumptions!$B$6,E108&lt;=Assumptions!$B$5),"Y","N")</f>
        <v>N</v>
      </c>
      <c r="L108" s="27" t="n">
        <f aca="false">IFERROR(INDEX(Assumptions!$B$22:$B$39,MATCH(F108,Assumptions!$A$22:$A$39,0)),0)</f>
        <v>0</v>
      </c>
      <c r="M108" s="29" t="n">
        <f aca="false">IF(I108="Y",SUMIFS($E$2:$E$114,$C$2:$C$114,C108,$B$2:$B$114,B108,$I$2:$I$114,"Y",$J$2:$J$114,J108),0)</f>
        <v>0</v>
      </c>
      <c r="N108" s="27" t="str">
        <f aca="false">IF(M108&gt;Assumptions!$B$5,"CTR","")</f>
        <v/>
      </c>
      <c r="O108" s="27" t="str">
        <f aca="false">IFERROR(INDEX(Client_Master!$R$2:$R$41,MATCH(C108,Client_Master!$A$2:$A$41,0)),"No KYC record")</f>
        <v>Complete</v>
      </c>
    </row>
    <row r="109" customFormat="false" ht="15" hidden="false" customHeight="false" outlineLevel="0" collapsed="false">
      <c r="A109" s="27" t="s">
        <v>442</v>
      </c>
      <c r="B109" s="28" t="n">
        <v>46316</v>
      </c>
      <c r="C109" s="27" t="s">
        <v>267</v>
      </c>
      <c r="D109" s="27" t="s">
        <v>318</v>
      </c>
      <c r="E109" s="29" t="n">
        <v>31800</v>
      </c>
      <c r="F109" s="27" t="s">
        <v>167</v>
      </c>
      <c r="G109" s="27" t="s">
        <v>319</v>
      </c>
      <c r="H109" s="27" t="str">
        <f aca="false">IFERROR(INDEX(Client_Master!$B$2:$B$41,MATCH(C109,Client_Master!$A$2:$A$41,0)),"UNKNOWN CLIENT")</f>
        <v>Crescent Remit Services LLP</v>
      </c>
      <c r="I109" s="27" t="str">
        <f aca="false">IF(LEFT(D109,4)="Cash","Y","N")</f>
        <v>N</v>
      </c>
      <c r="J109" s="27" t="str">
        <f aca="false">IF(OR(D109="Cash Deposit",D109="Wire In"),"In","Out")</f>
        <v>Out</v>
      </c>
      <c r="K109" s="27" t="str">
        <f aca="false">IF(AND(I109="Y",E109&gt;=Assumptions!$B$6,E109&lt;=Assumptions!$B$5),"Y","N")</f>
        <v>N</v>
      </c>
      <c r="L109" s="27" t="n">
        <f aca="false">IFERROR(INDEX(Assumptions!$B$22:$B$39,MATCH(F109,Assumptions!$A$22:$A$39,0)),0)</f>
        <v>0</v>
      </c>
      <c r="M109" s="29" t="n">
        <f aca="false">IF(I109="Y",SUMIFS($E$2:$E$114,$C$2:$C$114,C109,$B$2:$B$114,B109,$I$2:$I$114,"Y",$J$2:$J$114,J109),0)</f>
        <v>0</v>
      </c>
      <c r="N109" s="27" t="str">
        <f aca="false">IF(M109&gt;Assumptions!$B$5,"CTR","")</f>
        <v/>
      </c>
      <c r="O109" s="27" t="str">
        <f aca="false">IFERROR(INDEX(Client_Master!$R$2:$R$41,MATCH(C109,Client_Master!$A$2:$A$41,0)),"No KYC record")</f>
        <v>Complete</v>
      </c>
    </row>
    <row r="110" customFormat="false" ht="15" hidden="false" customHeight="false" outlineLevel="0" collapsed="false">
      <c r="A110" s="27" t="s">
        <v>443</v>
      </c>
      <c r="B110" s="28" t="n">
        <v>46317</v>
      </c>
      <c r="C110" s="27" t="s">
        <v>231</v>
      </c>
      <c r="D110" s="27" t="s">
        <v>315</v>
      </c>
      <c r="E110" s="29" t="n">
        <v>56900</v>
      </c>
      <c r="F110" s="27" t="s">
        <v>158</v>
      </c>
      <c r="G110" s="27" t="s">
        <v>316</v>
      </c>
      <c r="H110" s="27" t="str">
        <f aca="false">IFERROR(INDEX(Client_Master!$B$2:$B$41,MATCH(C110,Client_Master!$A$2:$A$41,0)),"UNKNOWN CLIENT")</f>
        <v>Alpine Logistics AG</v>
      </c>
      <c r="I110" s="27" t="str">
        <f aca="false">IF(LEFT(D110,4)="Cash","Y","N")</f>
        <v>N</v>
      </c>
      <c r="J110" s="27" t="str">
        <f aca="false">IF(OR(D110="Cash Deposit",D110="Wire In"),"In","Out")</f>
        <v>In</v>
      </c>
      <c r="K110" s="27" t="str">
        <f aca="false">IF(AND(I110="Y",E110&gt;=Assumptions!$B$6,E110&lt;=Assumptions!$B$5),"Y","N")</f>
        <v>N</v>
      </c>
      <c r="L110" s="27" t="n">
        <f aca="false">IFERROR(INDEX(Assumptions!$B$22:$B$39,MATCH(F110,Assumptions!$A$22:$A$39,0)),0)</f>
        <v>0</v>
      </c>
      <c r="M110" s="29" t="n">
        <f aca="false">IF(I110="Y",SUMIFS($E$2:$E$114,$C$2:$C$114,C110,$B$2:$B$114,B110,$I$2:$I$114,"Y",$J$2:$J$114,J110),0)</f>
        <v>0</v>
      </c>
      <c r="N110" s="27" t="str">
        <f aca="false">IF(M110&gt;Assumptions!$B$5,"CTR","")</f>
        <v/>
      </c>
      <c r="O110" s="27" t="str">
        <f aca="false">IFERROR(INDEX(Client_Master!$R$2:$R$41,MATCH(C110,Client_Master!$A$2:$A$41,0)),"No KYC record")</f>
        <v>Complete</v>
      </c>
    </row>
    <row r="111" customFormat="false" ht="15" hidden="false" customHeight="false" outlineLevel="0" collapsed="false">
      <c r="A111" s="27" t="s">
        <v>444</v>
      </c>
      <c r="B111" s="28" t="n">
        <v>46317</v>
      </c>
      <c r="C111" s="27" t="s">
        <v>282</v>
      </c>
      <c r="D111" s="27" t="s">
        <v>315</v>
      </c>
      <c r="E111" s="29" t="n">
        <v>76400</v>
      </c>
      <c r="F111" s="27" t="s">
        <v>169</v>
      </c>
      <c r="G111" s="27" t="s">
        <v>316</v>
      </c>
      <c r="H111" s="27" t="str">
        <f aca="false">IFERROR(INDEX(Client_Master!$B$2:$B$41,MATCH(C111,Client_Master!$A$2:$A$41,0)),"UNKNOWN CLIENT")</f>
        <v>Lakeview Medical Supplies Inc</v>
      </c>
      <c r="I111" s="27" t="str">
        <f aca="false">IF(LEFT(D111,4)="Cash","Y","N")</f>
        <v>N</v>
      </c>
      <c r="J111" s="27" t="str">
        <f aca="false">IF(OR(D111="Cash Deposit",D111="Wire In"),"In","Out")</f>
        <v>In</v>
      </c>
      <c r="K111" s="27" t="str">
        <f aca="false">IF(AND(I111="Y",E111&gt;=Assumptions!$B$6,E111&lt;=Assumptions!$B$5),"Y","N")</f>
        <v>N</v>
      </c>
      <c r="L111" s="27" t="n">
        <f aca="false">IFERROR(INDEX(Assumptions!$B$22:$B$39,MATCH(F111,Assumptions!$A$22:$A$39,0)),0)</f>
        <v>1</v>
      </c>
      <c r="M111" s="29" t="n">
        <f aca="false">IF(I111="Y",SUMIFS($E$2:$E$114,$C$2:$C$114,C111,$B$2:$B$114,B111,$I$2:$I$114,"Y",$J$2:$J$114,J111),0)</f>
        <v>0</v>
      </c>
      <c r="N111" s="27" t="str">
        <f aca="false">IF(M111&gt;Assumptions!$B$5,"CTR","")</f>
        <v/>
      </c>
      <c r="O111" s="27" t="str">
        <f aca="false">IFERROR(INDEX(Client_Master!$R$2:$R$41,MATCH(C111,Client_Master!$A$2:$A$41,0)),"No KYC record")</f>
        <v>Incomplete - Docs</v>
      </c>
    </row>
    <row r="112" customFormat="false" ht="15" hidden="false" customHeight="false" outlineLevel="0" collapsed="false">
      <c r="A112" s="27" t="s">
        <v>445</v>
      </c>
      <c r="B112" s="28" t="n">
        <v>46318</v>
      </c>
      <c r="C112" s="27" t="s">
        <v>237</v>
      </c>
      <c r="D112" s="27" t="s">
        <v>318</v>
      </c>
      <c r="E112" s="29" t="n">
        <v>12200</v>
      </c>
      <c r="F112" s="27" t="s">
        <v>155</v>
      </c>
      <c r="G112" s="27" t="s">
        <v>319</v>
      </c>
      <c r="H112" s="27" t="str">
        <f aca="false">IFERROR(INDEX(Client_Master!$B$2:$B$41,MATCH(C112,Client_Master!$A$2:$A$41,0)),"UNKNOWN CLIENT")</f>
        <v>Harbour Point Trading Co</v>
      </c>
      <c r="I112" s="27" t="str">
        <f aca="false">IF(LEFT(D112,4)="Cash","Y","N")</f>
        <v>N</v>
      </c>
      <c r="J112" s="27" t="str">
        <f aca="false">IF(OR(D112="Cash Deposit",D112="Wire In"),"In","Out")</f>
        <v>Out</v>
      </c>
      <c r="K112" s="27" t="str">
        <f aca="false">IF(AND(I112="Y",E112&gt;=Assumptions!$B$6,E112&lt;=Assumptions!$B$5),"Y","N")</f>
        <v>N</v>
      </c>
      <c r="L112" s="27" t="n">
        <f aca="false">IFERROR(INDEX(Assumptions!$B$22:$B$39,MATCH(F112,Assumptions!$A$22:$A$39,0)),0)</f>
        <v>0</v>
      </c>
      <c r="M112" s="29" t="n">
        <f aca="false">IF(I112="Y",SUMIFS($E$2:$E$114,$C$2:$C$114,C112,$B$2:$B$114,B112,$I$2:$I$114,"Y",$J$2:$J$114,J112),0)</f>
        <v>0</v>
      </c>
      <c r="N112" s="27" t="str">
        <f aca="false">IF(M112&gt;Assumptions!$B$5,"CTR","")</f>
        <v/>
      </c>
      <c r="O112" s="27" t="str">
        <f aca="false">IFERROR(INDEX(Client_Master!$R$2:$R$41,MATCH(C112,Client_Master!$A$2:$A$41,0)),"No KYC record")</f>
        <v>Complete</v>
      </c>
    </row>
    <row r="113" customFormat="false" ht="15" hidden="false" customHeight="false" outlineLevel="0" collapsed="false">
      <c r="A113" s="27" t="s">
        <v>446</v>
      </c>
      <c r="B113" s="28" t="n">
        <v>46318</v>
      </c>
      <c r="C113" s="27" t="s">
        <v>243</v>
      </c>
      <c r="D113" s="27" t="s">
        <v>315</v>
      </c>
      <c r="E113" s="29" t="n">
        <v>62700</v>
      </c>
      <c r="F113" s="27" t="s">
        <v>152</v>
      </c>
      <c r="G113" s="27" t="s">
        <v>316</v>
      </c>
      <c r="H113" s="27" t="str">
        <f aca="false">IFERROR(INDEX(Client_Master!$B$2:$B$41,MATCH(C113,Client_Master!$A$2:$A$41,0)),"UNKNOWN CLIENT")</f>
        <v>Sakura Electronics KK</v>
      </c>
      <c r="I113" s="27" t="str">
        <f aca="false">IF(LEFT(D113,4)="Cash","Y","N")</f>
        <v>N</v>
      </c>
      <c r="J113" s="27" t="str">
        <f aca="false">IF(OR(D113="Cash Deposit",D113="Wire In"),"In","Out")</f>
        <v>In</v>
      </c>
      <c r="K113" s="27" t="str">
        <f aca="false">IF(AND(I113="Y",E113&gt;=Assumptions!$B$6,E113&lt;=Assumptions!$B$5),"Y","N")</f>
        <v>N</v>
      </c>
      <c r="L113" s="27" t="n">
        <f aca="false">IFERROR(INDEX(Assumptions!$B$22:$B$39,MATCH(F113,Assumptions!$A$22:$A$39,0)),0)</f>
        <v>0</v>
      </c>
      <c r="M113" s="29" t="n">
        <f aca="false">IF(I113="Y",SUMIFS($E$2:$E$114,$C$2:$C$114,C113,$B$2:$B$114,B113,$I$2:$I$114,"Y",$J$2:$J$114,J113),0)</f>
        <v>0</v>
      </c>
      <c r="N113" s="27" t="str">
        <f aca="false">IF(M113&gt;Assumptions!$B$5,"CTR","")</f>
        <v/>
      </c>
      <c r="O113" s="27" t="str">
        <f aca="false">IFERROR(INDEX(Client_Master!$R$2:$R$41,MATCH(C113,Client_Master!$A$2:$A$41,0)),"No KYC record")</f>
        <v>Complete</v>
      </c>
    </row>
    <row r="114" customFormat="false" ht="15" hidden="false" customHeight="false" outlineLevel="0" collapsed="false">
      <c r="A114" s="27" t="s">
        <v>447</v>
      </c>
      <c r="B114" s="28" t="n">
        <v>46318</v>
      </c>
      <c r="C114" s="27" t="s">
        <v>269</v>
      </c>
      <c r="D114" s="27" t="s">
        <v>318</v>
      </c>
      <c r="E114" s="29" t="n">
        <v>41200</v>
      </c>
      <c r="F114" s="27" t="s">
        <v>152</v>
      </c>
      <c r="G114" s="27" t="s">
        <v>319</v>
      </c>
      <c r="H114" s="27" t="str">
        <f aca="false">IFERROR(INDEX(Client_Master!$B$2:$B$41,MATCH(C114,Client_Master!$A$2:$A$41,0)),"UNKNOWN CLIENT")</f>
        <v>Palm Bay Casino Resorts</v>
      </c>
      <c r="I114" s="27" t="str">
        <f aca="false">IF(LEFT(D114,4)="Cash","Y","N")</f>
        <v>N</v>
      </c>
      <c r="J114" s="27" t="str">
        <f aca="false">IF(OR(D114="Cash Deposit",D114="Wire In"),"In","Out")</f>
        <v>Out</v>
      </c>
      <c r="K114" s="27" t="str">
        <f aca="false">IF(AND(I114="Y",E114&gt;=Assumptions!$B$6,E114&lt;=Assumptions!$B$5),"Y","N")</f>
        <v>N</v>
      </c>
      <c r="L114" s="27" t="n">
        <f aca="false">IFERROR(INDEX(Assumptions!$B$22:$B$39,MATCH(F114,Assumptions!$A$22:$A$39,0)),0)</f>
        <v>0</v>
      </c>
      <c r="M114" s="29" t="n">
        <f aca="false">IF(I114="Y",SUMIFS($E$2:$E$114,$C$2:$C$114,C114,$B$2:$B$114,B114,$I$2:$I$114,"Y",$J$2:$J$114,J114),0)</f>
        <v>0</v>
      </c>
      <c r="N114" s="27" t="str">
        <f aca="false">IF(M114&gt;Assumptions!$B$5,"CTR","")</f>
        <v/>
      </c>
      <c r="O114" s="27" t="str">
        <f aca="false">IFERROR(INDEX(Client_Master!$R$2:$R$41,MATCH(C114,Client_Master!$A$2:$A$41,0)),"No KYC record")</f>
        <v>Complete</v>
      </c>
    </row>
  </sheetData>
  <autoFilter ref="A1:O114"/>
  <conditionalFormatting sqref="N2:N114">
    <cfRule type="expression" priority="2" aboveAverage="0" equalAverage="0" bottom="0" percent="0" rank="0" text="" dxfId="12">
      <formula>ISNUMBER(SEARCH("CTR",N2))</formula>
    </cfRule>
  </conditionalFormatting>
  <conditionalFormatting sqref="K2:K114">
    <cfRule type="expression" priority="3" aboveAverage="0" equalAverage="0" bottom="0" percent="0" rank="0" text="" dxfId="10">
      <formula>ISNUMBER(SEARCH("Y",K2))</formula>
    </cfRule>
  </conditionalFormatting>
  <conditionalFormatting sqref="H2:H114">
    <cfRule type="expression" priority="4" aboveAverage="0" equalAverage="0" bottom="0" percent="0" rank="0" text="" dxfId="12">
      <formula>ISNUMBER(SEARCH("UNKNOWN",H2))</formula>
    </cfRule>
  </conditionalFormatting>
  <conditionalFormatting sqref="O2:O114">
    <cfRule type="expression" priority="5" aboveAverage="0" equalAverage="0" bottom="0" percent="0" rank="0" text="" dxfId="12">
      <formula>ISNUMBER(SEARCH("No KYC",O2))</formula>
    </cfRule>
    <cfRule type="expression" priority="6" aboveAverage="0" equalAverage="0" bottom="0" percent="0" rank="0" text="" dxfId="10">
      <formula>ISNUMBER(SEARCH("Incomplete",O2))</formula>
    </cfRule>
  </conditionalFormatting>
  <dataValidations count="1">
    <dataValidation allowBlank="false" errorStyle="stop" operator="between" showDropDown="false" showErrorMessage="false" showInputMessage="false" sqref="D2:D114" type="list">
      <formula1>"Cash Deposit,Cash Withdrawal,Wire In,Wire 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48"/>
  </cols>
  <sheetData>
    <row r="1" customFormat="false" ht="42" hidden="false" customHeight="true" outlineLevel="0" collapsed="false">
      <c r="A1" s="25" t="s">
        <v>189</v>
      </c>
      <c r="B1" s="25" t="s">
        <v>448</v>
      </c>
      <c r="C1" s="26" t="s">
        <v>306</v>
      </c>
      <c r="D1" s="26" t="s">
        <v>449</v>
      </c>
      <c r="E1" s="26" t="s">
        <v>450</v>
      </c>
      <c r="F1" s="26" t="s">
        <v>451</v>
      </c>
      <c r="G1" s="26" t="s">
        <v>452</v>
      </c>
      <c r="H1" s="26" t="s">
        <v>453</v>
      </c>
      <c r="I1" s="25" t="s">
        <v>454</v>
      </c>
      <c r="J1" s="25" t="s">
        <v>455</v>
      </c>
      <c r="K1" s="26" t="s">
        <v>456</v>
      </c>
      <c r="L1" s="26" t="s">
        <v>457</v>
      </c>
      <c r="M1" s="25" t="s">
        <v>458</v>
      </c>
    </row>
    <row r="2" customFormat="false" ht="15" hidden="false" customHeight="false" outlineLevel="0" collapsed="false">
      <c r="A2" s="27" t="s">
        <v>255</v>
      </c>
      <c r="B2" s="28" t="n">
        <v>46273</v>
      </c>
      <c r="C2" s="27" t="str">
        <f aca="false">IFERROR(INDEX(Client_Master!$B$2:$B$41,MATCH(A2,Client_Master!$A$2:$A$41,0)),"UNKNOWN CLIENT")</f>
        <v>Metro Fuel &amp; Convenience Stores Inc</v>
      </c>
      <c r="D2" s="29" t="n">
        <f aca="false">SUMIFS(Transactions!$E$2:$E$114,Transactions!$C$2:$C$114,A2,Transactions!$B$2:$B$114,B2,Transactions!$D$2:$D$114,"Cash Deposit")</f>
        <v>3100</v>
      </c>
      <c r="E2" s="29" t="n">
        <f aca="false">SUMIFS(Transactions!$E$2:$E$114,Transactions!$C$2:$C$114,A2,Transactions!$B$2:$B$114,B2,Transactions!$D$2:$D$114,"Cash Withdrawal")</f>
        <v>0</v>
      </c>
      <c r="F2" s="27" t="str">
        <f aca="false">IF(OR(D2&gt;Assumptions!$B$5,E2&gt;Assumptions!$B$5),"YES","No")</f>
        <v>No</v>
      </c>
      <c r="G2" s="27" t="n">
        <f aca="false">COUNTIFS(Transactions!$C$2:$C$114,A2,Transactions!$B$2:$B$114,B2,Transactions!$I$2:$I$114,"Y")</f>
        <v>1</v>
      </c>
      <c r="H2" s="28" t="str">
        <f aca="false">IF(F2="YES",B2+Assumptions!$B$10,"")</f>
        <v/>
      </c>
      <c r="I2" s="27"/>
      <c r="J2" s="28"/>
      <c r="K2" s="27" t="str">
        <f aca="false">IF(AND(F2="YES",ISNUMBER(J2)),J2-B2,"")</f>
        <v/>
      </c>
      <c r="L2" s="27" t="str">
        <f aca="false">IF(F2&lt;&gt;"YES","",IF(NOT(ISNUMBER(J2)),IF(Assumptions!$B$4&gt;H2,"LATE - Not Filed","Pending - within deadline"),IF(J2&lt;=H2,"On time","Late")))</f>
        <v/>
      </c>
      <c r="M2" s="27"/>
    </row>
    <row r="3" customFormat="false" ht="15" hidden="false" customHeight="false" outlineLevel="0" collapsed="false">
      <c r="A3" s="27" t="s">
        <v>241</v>
      </c>
      <c r="B3" s="28" t="n">
        <v>46274</v>
      </c>
      <c r="C3" s="27" t="str">
        <f aca="false">IFERROR(INDEX(Client_Master!$B$2:$B$41,MATCH(A3,Client_Master!$A$2:$A$41,0)),"UNKNOWN CLIENT")</f>
        <v>Brightline Retail Holdings Inc</v>
      </c>
      <c r="D3" s="29" t="n">
        <f aca="false">SUMIFS(Transactions!$E$2:$E$114,Transactions!$C$2:$C$114,A3,Transactions!$B$2:$B$114,B3,Transactions!$D$2:$D$114,"Cash Deposit")</f>
        <v>2800</v>
      </c>
      <c r="E3" s="29" t="n">
        <f aca="false">SUMIFS(Transactions!$E$2:$E$114,Transactions!$C$2:$C$114,A3,Transactions!$B$2:$B$114,B3,Transactions!$D$2:$D$114,"Cash Withdrawal")</f>
        <v>0</v>
      </c>
      <c r="F3" s="27" t="str">
        <f aca="false">IF(OR(D3&gt;Assumptions!$B$5,E3&gt;Assumptions!$B$5),"YES","No")</f>
        <v>No</v>
      </c>
      <c r="G3" s="27" t="n">
        <f aca="false">COUNTIFS(Transactions!$C$2:$C$114,A3,Transactions!$B$2:$B$114,B3,Transactions!$I$2:$I$114,"Y")</f>
        <v>1</v>
      </c>
      <c r="H3" s="28" t="str">
        <f aca="false">IF(F3="YES",B3+Assumptions!$B$10,"")</f>
        <v/>
      </c>
      <c r="I3" s="27"/>
      <c r="J3" s="28"/>
      <c r="K3" s="27" t="str">
        <f aca="false">IF(AND(F3="YES",ISNUMBER(J3)),J3-B3,"")</f>
        <v/>
      </c>
      <c r="L3" s="27" t="str">
        <f aca="false">IF(F3&lt;&gt;"YES","",IF(NOT(ISNUMBER(J3)),IF(Assumptions!$B$4&gt;H3,"LATE - Not Filed","Pending - within deadline"),IF(J3&lt;=H3,"On time","Late")))</f>
        <v/>
      </c>
      <c r="M3" s="27"/>
    </row>
    <row r="4" customFormat="false" ht="15" hidden="false" customHeight="false" outlineLevel="0" collapsed="false">
      <c r="A4" s="27" t="s">
        <v>233</v>
      </c>
      <c r="B4" s="28" t="n">
        <v>46275</v>
      </c>
      <c r="C4" s="27" t="str">
        <f aca="false">IFERROR(INDEX(Client_Master!$B$2:$B$41,MATCH(A4,Client_Master!$A$2:$A$41,0)),"UNKNOWN CLIENT")</f>
        <v>Golden Crest Jewellers LLC</v>
      </c>
      <c r="D4" s="29" t="n">
        <f aca="false">SUMIFS(Transactions!$E$2:$E$114,Transactions!$C$2:$C$114,A4,Transactions!$B$2:$B$114,B4,Transactions!$D$2:$D$114,"Cash Deposit")</f>
        <v>30000</v>
      </c>
      <c r="E4" s="29" t="n">
        <f aca="false">SUMIFS(Transactions!$E$2:$E$114,Transactions!$C$2:$C$114,A4,Transactions!$B$2:$B$114,B4,Transactions!$D$2:$D$114,"Cash Withdrawal")</f>
        <v>0</v>
      </c>
      <c r="F4" s="27" t="str">
        <f aca="false">IF(OR(D4&gt;Assumptions!$B$5,E4&gt;Assumptions!$B$5),"YES","No")</f>
        <v>YES</v>
      </c>
      <c r="G4" s="27" t="n">
        <f aca="false">COUNTIFS(Transactions!$C$2:$C$114,A4,Transactions!$B$2:$B$114,B4,Transactions!$I$2:$I$114,"Y")</f>
        <v>1</v>
      </c>
      <c r="H4" s="28" t="n">
        <f aca="false">IF(F4="YES",B4+Assumptions!$B$10,"")</f>
        <v>46290</v>
      </c>
      <c r="I4" s="27" t="s">
        <v>459</v>
      </c>
      <c r="J4" s="28" t="n">
        <v>46283</v>
      </c>
      <c r="K4" s="27" t="n">
        <f aca="false">IF(AND(F4="YES",ISNUMBER(J4)),J4-B4,"")</f>
        <v>8</v>
      </c>
      <c r="L4" s="27" t="str">
        <f aca="false">IF(F4&lt;&gt;"YES","",IF(NOT(ISNUMBER(J4)),IF(Assumptions!$B$4&gt;H4,"LATE - Not Filed","Pending - within deadline"),IF(J4&lt;=H4,"On time","Late")))</f>
        <v>On time</v>
      </c>
      <c r="M4" s="27"/>
    </row>
    <row r="5" customFormat="false" ht="15" hidden="false" customHeight="false" outlineLevel="0" collapsed="false">
      <c r="A5" s="27" t="s">
        <v>227</v>
      </c>
      <c r="B5" s="28" t="n">
        <v>46279</v>
      </c>
      <c r="C5" s="27" t="str">
        <f aca="false">IFERROR(INDEX(Client_Master!$B$2:$B$41,MATCH(A5,Client_Master!$A$2:$A$41,0)),"UNKNOWN CLIENT")</f>
        <v>Spice Route Restaurants Group Inc</v>
      </c>
      <c r="D5" s="29" t="n">
        <f aca="false">SUMIFS(Transactions!$E$2:$E$114,Transactions!$C$2:$C$114,A5,Transactions!$B$2:$B$114,B5,Transactions!$D$2:$D$114,"Cash Deposit")</f>
        <v>3400</v>
      </c>
      <c r="E5" s="29" t="n">
        <f aca="false">SUMIFS(Transactions!$E$2:$E$114,Transactions!$C$2:$C$114,A5,Transactions!$B$2:$B$114,B5,Transactions!$D$2:$D$114,"Cash Withdrawal")</f>
        <v>0</v>
      </c>
      <c r="F5" s="27" t="str">
        <f aca="false">IF(OR(D5&gt;Assumptions!$B$5,E5&gt;Assumptions!$B$5),"YES","No")</f>
        <v>No</v>
      </c>
      <c r="G5" s="27" t="n">
        <f aca="false">COUNTIFS(Transactions!$C$2:$C$114,A5,Transactions!$B$2:$B$114,B5,Transactions!$I$2:$I$114,"Y")</f>
        <v>1</v>
      </c>
      <c r="H5" s="28" t="str">
        <f aca="false">IF(F5="YES",B5+Assumptions!$B$10,"")</f>
        <v/>
      </c>
      <c r="I5" s="27"/>
      <c r="J5" s="28"/>
      <c r="K5" s="27" t="str">
        <f aca="false">IF(AND(F5="YES",ISNUMBER(J5)),J5-B5,"")</f>
        <v/>
      </c>
      <c r="L5" s="27" t="str">
        <f aca="false">IF(F5&lt;&gt;"YES","",IF(NOT(ISNUMBER(J5)),IF(Assumptions!$B$4&gt;H5,"LATE - Not Filed","Pending - within deadline"),IF(J5&lt;=H5,"On time","Late")))</f>
        <v/>
      </c>
      <c r="M5" s="27"/>
    </row>
    <row r="6" customFormat="false" ht="15" hidden="false" customHeight="false" outlineLevel="0" collapsed="false">
      <c r="A6" s="27" t="s">
        <v>265</v>
      </c>
      <c r="B6" s="28" t="n">
        <v>46281</v>
      </c>
      <c r="C6" s="27" t="str">
        <f aca="false">IFERROR(INDEX(Client_Master!$B$2:$B$41,MATCH(A6,Client_Master!$A$2:$A$41,0)),"UNKNOWN CLIENT")</f>
        <v>Sunrise Auto Traders LLC</v>
      </c>
      <c r="D6" s="29" t="n">
        <f aca="false">SUMIFS(Transactions!$E$2:$E$114,Transactions!$C$2:$C$114,A6,Transactions!$B$2:$B$114,B6,Transactions!$D$2:$D$114,"Cash Deposit")</f>
        <v>4200</v>
      </c>
      <c r="E6" s="29" t="n">
        <f aca="false">SUMIFS(Transactions!$E$2:$E$114,Transactions!$C$2:$C$114,A6,Transactions!$B$2:$B$114,B6,Transactions!$D$2:$D$114,"Cash Withdrawal")</f>
        <v>0</v>
      </c>
      <c r="F6" s="27" t="str">
        <f aca="false">IF(OR(D6&gt;Assumptions!$B$5,E6&gt;Assumptions!$B$5),"YES","No")</f>
        <v>No</v>
      </c>
      <c r="G6" s="27" t="n">
        <f aca="false">COUNTIFS(Transactions!$C$2:$C$114,A6,Transactions!$B$2:$B$114,B6,Transactions!$I$2:$I$114,"Y")</f>
        <v>1</v>
      </c>
      <c r="H6" s="28" t="str">
        <f aca="false">IF(F6="YES",B6+Assumptions!$B$10,"")</f>
        <v/>
      </c>
      <c r="I6" s="27"/>
      <c r="J6" s="28"/>
      <c r="K6" s="27" t="str">
        <f aca="false">IF(AND(F6="YES",ISNUMBER(J6)),J6-B6,"")</f>
        <v/>
      </c>
      <c r="L6" s="27" t="str">
        <f aca="false">IF(F6&lt;&gt;"YES","",IF(NOT(ISNUMBER(J6)),IF(Assumptions!$B$4&gt;H6,"LATE - Not Filed","Pending - within deadline"),IF(J6&lt;=H6,"On time","Late")))</f>
        <v/>
      </c>
      <c r="M6" s="27"/>
    </row>
    <row r="7" customFormat="false" ht="15" hidden="false" customHeight="false" outlineLevel="0" collapsed="false">
      <c r="A7" s="27" t="s">
        <v>296</v>
      </c>
      <c r="B7" s="28" t="n">
        <v>46286</v>
      </c>
      <c r="C7" s="27" t="str">
        <f aca="false">IFERROR(INDEX(Client_Master!$B$2:$B$41,MATCH(A7,Client_Master!$A$2:$A$41,0)),"UNKNOWN CLIENT")</f>
        <v>Ridgeway Used Cars Ltd</v>
      </c>
      <c r="D7" s="29" t="n">
        <f aca="false">SUMIFS(Transactions!$E$2:$E$114,Transactions!$C$2:$C$114,A7,Transactions!$B$2:$B$114,B7,Transactions!$D$2:$D$114,"Cash Deposit")</f>
        <v>3600</v>
      </c>
      <c r="E7" s="29" t="n">
        <f aca="false">SUMIFS(Transactions!$E$2:$E$114,Transactions!$C$2:$C$114,A7,Transactions!$B$2:$B$114,B7,Transactions!$D$2:$D$114,"Cash Withdrawal")</f>
        <v>0</v>
      </c>
      <c r="F7" s="27" t="str">
        <f aca="false">IF(OR(D7&gt;Assumptions!$B$5,E7&gt;Assumptions!$B$5),"YES","No")</f>
        <v>No</v>
      </c>
      <c r="G7" s="27" t="n">
        <f aca="false">COUNTIFS(Transactions!$C$2:$C$114,A7,Transactions!$B$2:$B$114,B7,Transactions!$I$2:$I$114,"Y")</f>
        <v>1</v>
      </c>
      <c r="H7" s="28" t="str">
        <f aca="false">IF(F7="YES",B7+Assumptions!$B$10,"")</f>
        <v/>
      </c>
      <c r="I7" s="27"/>
      <c r="J7" s="28"/>
      <c r="K7" s="27" t="str">
        <f aca="false">IF(AND(F7="YES",ISNUMBER(J7)),J7-B7,"")</f>
        <v/>
      </c>
      <c r="L7" s="27" t="str">
        <f aca="false">IF(F7&lt;&gt;"YES","",IF(NOT(ISNUMBER(J7)),IF(Assumptions!$B$4&gt;H7,"LATE - Not Filed","Pending - within deadline"),IF(J7&lt;=H7,"On time","Late")))</f>
        <v/>
      </c>
      <c r="M7" s="27"/>
    </row>
    <row r="8" customFormat="false" ht="15" hidden="false" customHeight="false" outlineLevel="0" collapsed="false">
      <c r="A8" s="27" t="s">
        <v>255</v>
      </c>
      <c r="B8" s="28" t="n">
        <v>46287</v>
      </c>
      <c r="C8" s="27" t="str">
        <f aca="false">IFERROR(INDEX(Client_Master!$B$2:$B$41,MATCH(A8,Client_Master!$A$2:$A$41,0)),"UNKNOWN CLIENT")</f>
        <v>Metro Fuel &amp; Convenience Stores Inc</v>
      </c>
      <c r="D8" s="29" t="n">
        <f aca="false">SUMIFS(Transactions!$E$2:$E$114,Transactions!$C$2:$C$114,A8,Transactions!$B$2:$B$114,B8,Transactions!$D$2:$D$114,"Cash Deposit")</f>
        <v>4000</v>
      </c>
      <c r="E8" s="29" t="n">
        <f aca="false">SUMIFS(Transactions!$E$2:$E$114,Transactions!$C$2:$C$114,A8,Transactions!$B$2:$B$114,B8,Transactions!$D$2:$D$114,"Cash Withdrawal")</f>
        <v>0</v>
      </c>
      <c r="F8" s="27" t="str">
        <f aca="false">IF(OR(D8&gt;Assumptions!$B$5,E8&gt;Assumptions!$B$5),"YES","No")</f>
        <v>No</v>
      </c>
      <c r="G8" s="27" t="n">
        <f aca="false">COUNTIFS(Transactions!$C$2:$C$114,A8,Transactions!$B$2:$B$114,B8,Transactions!$I$2:$I$114,"Y")</f>
        <v>1</v>
      </c>
      <c r="H8" s="28" t="str">
        <f aca="false">IF(F8="YES",B8+Assumptions!$B$10,"")</f>
        <v/>
      </c>
      <c r="I8" s="27"/>
      <c r="J8" s="28"/>
      <c r="K8" s="27" t="str">
        <f aca="false">IF(AND(F8="YES",ISNUMBER(J8)),J8-B8,"")</f>
        <v/>
      </c>
      <c r="L8" s="27" t="str">
        <f aca="false">IF(F8&lt;&gt;"YES","",IF(NOT(ISNUMBER(J8)),IF(Assumptions!$B$4&gt;H8,"LATE - Not Filed","Pending - within deadline"),IF(J8&lt;=H8,"On time","Late")))</f>
        <v/>
      </c>
      <c r="M8" s="27"/>
    </row>
    <row r="9" customFormat="false" ht="15" hidden="false" customHeight="false" outlineLevel="0" collapsed="false">
      <c r="A9" s="27" t="s">
        <v>233</v>
      </c>
      <c r="B9" s="28" t="n">
        <v>46289</v>
      </c>
      <c r="C9" s="27" t="str">
        <f aca="false">IFERROR(INDEX(Client_Master!$B$2:$B$41,MATCH(A9,Client_Master!$A$2:$A$41,0)),"UNKNOWN CLIENT")</f>
        <v>Golden Crest Jewellers LLC</v>
      </c>
      <c r="D9" s="29" t="n">
        <f aca="false">SUMIFS(Transactions!$E$2:$E$114,Transactions!$C$2:$C$114,A9,Transactions!$B$2:$B$114,B9,Transactions!$D$2:$D$114,"Cash Deposit")</f>
        <v>28000</v>
      </c>
      <c r="E9" s="29" t="n">
        <f aca="false">SUMIFS(Transactions!$E$2:$E$114,Transactions!$C$2:$C$114,A9,Transactions!$B$2:$B$114,B9,Transactions!$D$2:$D$114,"Cash Withdrawal")</f>
        <v>0</v>
      </c>
      <c r="F9" s="27" t="str">
        <f aca="false">IF(OR(D9&gt;Assumptions!$B$5,E9&gt;Assumptions!$B$5),"YES","No")</f>
        <v>YES</v>
      </c>
      <c r="G9" s="27" t="n">
        <f aca="false">COUNTIFS(Transactions!$C$2:$C$114,A9,Transactions!$B$2:$B$114,B9,Transactions!$I$2:$I$114,"Y")</f>
        <v>1</v>
      </c>
      <c r="H9" s="28" t="n">
        <f aca="false">IF(F9="YES",B9+Assumptions!$B$10,"")</f>
        <v>46304</v>
      </c>
      <c r="I9" s="27" t="s">
        <v>459</v>
      </c>
      <c r="J9" s="28" t="n">
        <v>46302</v>
      </c>
      <c r="K9" s="27" t="n">
        <f aca="false">IF(AND(F9="YES",ISNUMBER(J9)),J9-B9,"")</f>
        <v>13</v>
      </c>
      <c r="L9" s="27" t="str">
        <f aca="false">IF(F9&lt;&gt;"YES","",IF(NOT(ISNUMBER(J9)),IF(Assumptions!$B$4&gt;H9,"LATE - Not Filed","Pending - within deadline"),IF(J9&lt;=H9,"On time","Late")))</f>
        <v>On time</v>
      </c>
      <c r="M9" s="27"/>
    </row>
    <row r="10" customFormat="false" ht="15" hidden="false" customHeight="false" outlineLevel="0" collapsed="false">
      <c r="A10" s="27" t="s">
        <v>227</v>
      </c>
      <c r="B10" s="28" t="n">
        <v>46293</v>
      </c>
      <c r="C10" s="27" t="str">
        <f aca="false">IFERROR(INDEX(Client_Master!$B$2:$B$41,MATCH(A10,Client_Master!$A$2:$A$41,0)),"UNKNOWN CLIENT")</f>
        <v>Spice Route Restaurants Group Inc</v>
      </c>
      <c r="D10" s="29" t="n">
        <f aca="false">SUMIFS(Transactions!$E$2:$E$114,Transactions!$C$2:$C$114,A10,Transactions!$B$2:$B$114,B10,Transactions!$D$2:$D$114,"Cash Deposit")</f>
        <v>4100</v>
      </c>
      <c r="E10" s="29" t="n">
        <f aca="false">SUMIFS(Transactions!$E$2:$E$114,Transactions!$C$2:$C$114,A10,Transactions!$B$2:$B$114,B10,Transactions!$D$2:$D$114,"Cash Withdrawal")</f>
        <v>0</v>
      </c>
      <c r="F10" s="27" t="str">
        <f aca="false">IF(OR(D10&gt;Assumptions!$B$5,E10&gt;Assumptions!$B$5),"YES","No")</f>
        <v>No</v>
      </c>
      <c r="G10" s="27" t="n">
        <f aca="false">COUNTIFS(Transactions!$C$2:$C$114,A10,Transactions!$B$2:$B$114,B10,Transactions!$I$2:$I$114,"Y")</f>
        <v>1</v>
      </c>
      <c r="H10" s="28" t="str">
        <f aca="false">IF(F10="YES",B10+Assumptions!$B$10,"")</f>
        <v/>
      </c>
      <c r="I10" s="27"/>
      <c r="J10" s="28"/>
      <c r="K10" s="27" t="str">
        <f aca="false">IF(AND(F10="YES",ISNUMBER(J10)),J10-B10,"")</f>
        <v/>
      </c>
      <c r="L10" s="27" t="str">
        <f aca="false">IF(F10&lt;&gt;"YES","",IF(NOT(ISNUMBER(J10)),IF(Assumptions!$B$4&gt;H10,"LATE - Not Filed","Pending - within deadline"),IF(J10&lt;=H10,"On time","Late")))</f>
        <v/>
      </c>
      <c r="M10" s="27"/>
    </row>
    <row r="11" customFormat="false" ht="15" hidden="false" customHeight="false" outlineLevel="0" collapsed="false">
      <c r="A11" s="27" t="s">
        <v>241</v>
      </c>
      <c r="B11" s="28" t="n">
        <v>46295</v>
      </c>
      <c r="C11" s="27" t="str">
        <f aca="false">IFERROR(INDEX(Client_Master!$B$2:$B$41,MATCH(A11,Client_Master!$A$2:$A$41,0)),"UNKNOWN CLIENT")</f>
        <v>Brightline Retail Holdings Inc</v>
      </c>
      <c r="D11" s="29" t="n">
        <f aca="false">SUMIFS(Transactions!$E$2:$E$114,Transactions!$C$2:$C$114,A11,Transactions!$B$2:$B$114,B11,Transactions!$D$2:$D$114,"Cash Deposit")</f>
        <v>5200</v>
      </c>
      <c r="E11" s="29" t="n">
        <f aca="false">SUMIFS(Transactions!$E$2:$E$114,Transactions!$C$2:$C$114,A11,Transactions!$B$2:$B$114,B11,Transactions!$D$2:$D$114,"Cash Withdrawal")</f>
        <v>0</v>
      </c>
      <c r="F11" s="27" t="str">
        <f aca="false">IF(OR(D11&gt;Assumptions!$B$5,E11&gt;Assumptions!$B$5),"YES","No")</f>
        <v>No</v>
      </c>
      <c r="G11" s="27" t="n">
        <f aca="false">COUNTIFS(Transactions!$C$2:$C$114,A11,Transactions!$B$2:$B$114,B11,Transactions!$I$2:$I$114,"Y")</f>
        <v>1</v>
      </c>
      <c r="H11" s="28" t="str">
        <f aca="false">IF(F11="YES",B11+Assumptions!$B$10,"")</f>
        <v/>
      </c>
      <c r="I11" s="27"/>
      <c r="J11" s="28"/>
      <c r="K11" s="27" t="str">
        <f aca="false">IF(AND(F11="YES",ISNUMBER(J11)),J11-B11,"")</f>
        <v/>
      </c>
      <c r="L11" s="27" t="str">
        <f aca="false">IF(F11&lt;&gt;"YES","",IF(NOT(ISNUMBER(J11)),IF(Assumptions!$B$4&gt;H11,"LATE - Not Filed","Pending - within deadline"),IF(J11&lt;=H11,"On time","Late")))</f>
        <v/>
      </c>
      <c r="M11" s="27"/>
    </row>
    <row r="12" customFormat="false" ht="15" hidden="false" customHeight="false" outlineLevel="0" collapsed="false">
      <c r="A12" s="27" t="s">
        <v>227</v>
      </c>
      <c r="B12" s="28" t="n">
        <v>46300</v>
      </c>
      <c r="C12" s="27" t="str">
        <f aca="false">IFERROR(INDEX(Client_Master!$B$2:$B$41,MATCH(A12,Client_Master!$A$2:$A$41,0)),"UNKNOWN CLIENT")</f>
        <v>Spice Route Restaurants Group Inc</v>
      </c>
      <c r="D12" s="29" t="n">
        <f aca="false">SUMIFS(Transactions!$E$2:$E$114,Transactions!$C$2:$C$114,A12,Transactions!$B$2:$B$114,B12,Transactions!$D$2:$D$114,"Cash Deposit")</f>
        <v>11300</v>
      </c>
      <c r="E12" s="29" t="n">
        <f aca="false">SUMIFS(Transactions!$E$2:$E$114,Transactions!$C$2:$C$114,A12,Transactions!$B$2:$B$114,B12,Transactions!$D$2:$D$114,"Cash Withdrawal")</f>
        <v>0</v>
      </c>
      <c r="F12" s="27" t="str">
        <f aca="false">IF(OR(D12&gt;Assumptions!$B$5,E12&gt;Assumptions!$B$5),"YES","No")</f>
        <v>YES</v>
      </c>
      <c r="G12" s="27" t="n">
        <f aca="false">COUNTIFS(Transactions!$C$2:$C$114,A12,Transactions!$B$2:$B$114,B12,Transactions!$I$2:$I$114,"Y")</f>
        <v>2</v>
      </c>
      <c r="H12" s="28" t="n">
        <f aca="false">IF(F12="YES",B12+Assumptions!$B$10,"")</f>
        <v>46315</v>
      </c>
      <c r="I12" s="27" t="s">
        <v>459</v>
      </c>
      <c r="J12" s="28" t="n">
        <v>46309</v>
      </c>
      <c r="K12" s="27" t="n">
        <f aca="false">IF(AND(F12="YES",ISNUMBER(J12)),J12-B12,"")</f>
        <v>9</v>
      </c>
      <c r="L12" s="27" t="str">
        <f aca="false">IF(F12&lt;&gt;"YES","",IF(NOT(ISNUMBER(J12)),IF(Assumptions!$B$4&gt;H12,"LATE - Not Filed","Pending - within deadline"),IF(J12&lt;=H12,"On time","Late")))</f>
        <v>On time</v>
      </c>
      <c r="M12" s="27" t="s">
        <v>460</v>
      </c>
    </row>
    <row r="13" customFormat="false" ht="15" hidden="false" customHeight="false" outlineLevel="0" collapsed="false">
      <c r="A13" s="27" t="s">
        <v>265</v>
      </c>
      <c r="B13" s="28" t="n">
        <v>46302</v>
      </c>
      <c r="C13" s="27" t="str">
        <f aca="false">IFERROR(INDEX(Client_Master!$B$2:$B$41,MATCH(A13,Client_Master!$A$2:$A$41,0)),"UNKNOWN CLIENT")</f>
        <v>Sunrise Auto Traders LLC</v>
      </c>
      <c r="D13" s="29" t="n">
        <f aca="false">SUMIFS(Transactions!$E$2:$E$114,Transactions!$C$2:$C$114,A13,Transactions!$B$2:$B$114,B13,Transactions!$D$2:$D$114,"Cash Deposit")</f>
        <v>6100</v>
      </c>
      <c r="E13" s="29" t="n">
        <f aca="false">SUMIFS(Transactions!$E$2:$E$114,Transactions!$C$2:$C$114,A13,Transactions!$B$2:$B$114,B13,Transactions!$D$2:$D$114,"Cash Withdrawal")</f>
        <v>0</v>
      </c>
      <c r="F13" s="27" t="str">
        <f aca="false">IF(OR(D13&gt;Assumptions!$B$5,E13&gt;Assumptions!$B$5),"YES","No")</f>
        <v>No</v>
      </c>
      <c r="G13" s="27" t="n">
        <f aca="false">COUNTIFS(Transactions!$C$2:$C$114,A13,Transactions!$B$2:$B$114,B13,Transactions!$I$2:$I$114,"Y")</f>
        <v>1</v>
      </c>
      <c r="H13" s="28" t="str">
        <f aca="false">IF(F13="YES",B13+Assumptions!$B$10,"")</f>
        <v/>
      </c>
      <c r="I13" s="27"/>
      <c r="J13" s="28"/>
      <c r="K13" s="27" t="str">
        <f aca="false">IF(AND(F13="YES",ISNUMBER(J13)),J13-B13,"")</f>
        <v/>
      </c>
      <c r="L13" s="27" t="str">
        <f aca="false">IF(F13&lt;&gt;"YES","",IF(NOT(ISNUMBER(J13)),IF(Assumptions!$B$4&gt;H13,"LATE - Not Filed","Pending - within deadline"),IF(J13&lt;=H13,"On time","Late")))</f>
        <v/>
      </c>
      <c r="M13" s="27"/>
    </row>
    <row r="14" customFormat="false" ht="15" hidden="false" customHeight="false" outlineLevel="0" collapsed="false">
      <c r="A14" s="27" t="s">
        <v>233</v>
      </c>
      <c r="B14" s="28" t="n">
        <v>46303</v>
      </c>
      <c r="C14" s="27" t="str">
        <f aca="false">IFERROR(INDEX(Client_Master!$B$2:$B$41,MATCH(A14,Client_Master!$A$2:$A$41,0)),"UNKNOWN CLIENT")</f>
        <v>Golden Crest Jewellers LLC</v>
      </c>
      <c r="D14" s="29" t="n">
        <f aca="false">SUMIFS(Transactions!$E$2:$E$114,Transactions!$C$2:$C$114,A14,Transactions!$B$2:$B$114,B14,Transactions!$D$2:$D$114,"Cash Deposit")</f>
        <v>27000</v>
      </c>
      <c r="E14" s="29" t="n">
        <f aca="false">SUMIFS(Transactions!$E$2:$E$114,Transactions!$C$2:$C$114,A14,Transactions!$B$2:$B$114,B14,Transactions!$D$2:$D$114,"Cash Withdrawal")</f>
        <v>0</v>
      </c>
      <c r="F14" s="27" t="str">
        <f aca="false">IF(OR(D14&gt;Assumptions!$B$5,E14&gt;Assumptions!$B$5),"YES","No")</f>
        <v>YES</v>
      </c>
      <c r="G14" s="27" t="n">
        <f aca="false">COUNTIFS(Transactions!$C$2:$C$114,A14,Transactions!$B$2:$B$114,B14,Transactions!$I$2:$I$114,"Y")</f>
        <v>1</v>
      </c>
      <c r="H14" s="28" t="n">
        <f aca="false">IF(F14="YES",B14+Assumptions!$B$10,"")</f>
        <v>46318</v>
      </c>
      <c r="I14" s="27" t="s">
        <v>461</v>
      </c>
      <c r="J14" s="28"/>
      <c r="K14" s="27" t="str">
        <f aca="false">IF(AND(F14="YES",ISNUMBER(J14)),J14-B14,"")</f>
        <v/>
      </c>
      <c r="L14" s="27" t="str">
        <f aca="false">IF(F14&lt;&gt;"YES","",IF(NOT(ISNUMBER(J14)),IF(Assumptions!$B$4&gt;H14,"LATE - Not Filed","Pending - within deadline"),IF(J14&lt;=H14,"On time","Late")))</f>
        <v>LATE - Not Filed</v>
      </c>
      <c r="M14" s="27" t="s">
        <v>462</v>
      </c>
    </row>
    <row r="15" customFormat="false" ht="15" hidden="false" customHeight="false" outlineLevel="0" collapsed="false">
      <c r="A15" s="27" t="s">
        <v>411</v>
      </c>
      <c r="B15" s="28" t="n">
        <v>46304</v>
      </c>
      <c r="C15" s="27" t="str">
        <f aca="false">IFERROR(INDEX(Client_Master!$B$2:$B$41,MATCH(A15,Client_Master!$A$2:$A$41,0)),"UNKNOWN CLIENT")</f>
        <v>UNKNOWN CLIENT</v>
      </c>
      <c r="D15" s="29" t="n">
        <f aca="false">SUMIFS(Transactions!$E$2:$E$114,Transactions!$C$2:$C$114,A15,Transactions!$B$2:$B$114,B15,Transactions!$D$2:$D$114,"Cash Deposit")</f>
        <v>7800</v>
      </c>
      <c r="E15" s="29" t="n">
        <f aca="false">SUMIFS(Transactions!$E$2:$E$114,Transactions!$C$2:$C$114,A15,Transactions!$B$2:$B$114,B15,Transactions!$D$2:$D$114,"Cash Withdrawal")</f>
        <v>0</v>
      </c>
      <c r="F15" s="27" t="str">
        <f aca="false">IF(OR(D15&gt;Assumptions!$B$5,E15&gt;Assumptions!$B$5),"YES","No")</f>
        <v>No</v>
      </c>
      <c r="G15" s="27" t="n">
        <f aca="false">COUNTIFS(Transactions!$C$2:$C$114,A15,Transactions!$B$2:$B$114,B15,Transactions!$I$2:$I$114,"Y")</f>
        <v>1</v>
      </c>
      <c r="H15" s="28" t="str">
        <f aca="false">IF(F15="YES",B15+Assumptions!$B$10,"")</f>
        <v/>
      </c>
      <c r="I15" s="27"/>
      <c r="J15" s="28"/>
      <c r="K15" s="27" t="str">
        <f aca="false">IF(AND(F15="YES",ISNUMBER(J15)),J15-B15,"")</f>
        <v/>
      </c>
      <c r="L15" s="27" t="str">
        <f aca="false">IF(F15&lt;&gt;"YES","",IF(NOT(ISNUMBER(J15)),IF(Assumptions!$B$4&gt;H15,"LATE - Not Filed","Pending - within deadline"),IF(J15&lt;=H15,"On time","Late")))</f>
        <v/>
      </c>
      <c r="M15" s="27" t="s">
        <v>463</v>
      </c>
    </row>
    <row r="16" customFormat="false" ht="15" hidden="false" customHeight="false" outlineLevel="0" collapsed="false">
      <c r="A16" s="27" t="s">
        <v>255</v>
      </c>
      <c r="B16" s="28" t="n">
        <v>46307</v>
      </c>
      <c r="C16" s="27" t="str">
        <f aca="false">IFERROR(INDEX(Client_Master!$B$2:$B$41,MATCH(A16,Client_Master!$A$2:$A$41,0)),"UNKNOWN CLIENT")</f>
        <v>Metro Fuel &amp; Convenience Stores Inc</v>
      </c>
      <c r="D16" s="29" t="n">
        <f aca="false">SUMIFS(Transactions!$E$2:$E$114,Transactions!$C$2:$C$114,A16,Transactions!$B$2:$B$114,B16,Transactions!$D$2:$D$114,"Cash Deposit")</f>
        <v>9500</v>
      </c>
      <c r="E16" s="29" t="n">
        <f aca="false">SUMIFS(Transactions!$E$2:$E$114,Transactions!$C$2:$C$114,A16,Transactions!$B$2:$B$114,B16,Transactions!$D$2:$D$114,"Cash Withdrawal")</f>
        <v>0</v>
      </c>
      <c r="F16" s="27" t="str">
        <f aca="false">IF(OR(D16&gt;Assumptions!$B$5,E16&gt;Assumptions!$B$5),"YES","No")</f>
        <v>No</v>
      </c>
      <c r="G16" s="27" t="n">
        <f aca="false">COUNTIFS(Transactions!$C$2:$C$114,A16,Transactions!$B$2:$B$114,B16,Transactions!$I$2:$I$114,"Y")</f>
        <v>1</v>
      </c>
      <c r="H16" s="28" t="str">
        <f aca="false">IF(F16="YES",B16+Assumptions!$B$10,"")</f>
        <v/>
      </c>
      <c r="I16" s="27"/>
      <c r="J16" s="28"/>
      <c r="K16" s="27" t="str">
        <f aca="false">IF(AND(F16="YES",ISNUMBER(J16)),J16-B16,"")</f>
        <v/>
      </c>
      <c r="L16" s="27" t="str">
        <f aca="false">IF(F16&lt;&gt;"YES","",IF(NOT(ISNUMBER(J16)),IF(Assumptions!$B$4&gt;H16,"LATE - Not Filed","Pending - within deadline"),IF(J16&lt;=H16,"On time","Late")))</f>
        <v/>
      </c>
      <c r="M16" s="27"/>
    </row>
    <row r="17" customFormat="false" ht="15" hidden="false" customHeight="false" outlineLevel="0" collapsed="false">
      <c r="A17" s="27" t="s">
        <v>255</v>
      </c>
      <c r="B17" s="28" t="n">
        <v>46308</v>
      </c>
      <c r="C17" s="27" t="str">
        <f aca="false">IFERROR(INDEX(Client_Master!$B$2:$B$41,MATCH(A17,Client_Master!$A$2:$A$41,0)),"UNKNOWN CLIENT")</f>
        <v>Metro Fuel &amp; Convenience Stores Inc</v>
      </c>
      <c r="D17" s="29" t="n">
        <f aca="false">SUMIFS(Transactions!$E$2:$E$114,Transactions!$C$2:$C$114,A17,Transactions!$B$2:$B$114,B17,Transactions!$D$2:$D$114,"Cash Deposit")</f>
        <v>9800</v>
      </c>
      <c r="E17" s="29" t="n">
        <f aca="false">SUMIFS(Transactions!$E$2:$E$114,Transactions!$C$2:$C$114,A17,Transactions!$B$2:$B$114,B17,Transactions!$D$2:$D$114,"Cash Withdrawal")</f>
        <v>0</v>
      </c>
      <c r="F17" s="27" t="str">
        <f aca="false">IF(OR(D17&gt;Assumptions!$B$5,E17&gt;Assumptions!$B$5),"YES","No")</f>
        <v>No</v>
      </c>
      <c r="G17" s="27" t="n">
        <f aca="false">COUNTIFS(Transactions!$C$2:$C$114,A17,Transactions!$B$2:$B$114,B17,Transactions!$I$2:$I$114,"Y")</f>
        <v>1</v>
      </c>
      <c r="H17" s="28" t="str">
        <f aca="false">IF(F17="YES",B17+Assumptions!$B$10,"")</f>
        <v/>
      </c>
      <c r="I17" s="27"/>
      <c r="J17" s="28"/>
      <c r="K17" s="27" t="str">
        <f aca="false">IF(AND(F17="YES",ISNUMBER(J17)),J17-B17,"")</f>
        <v/>
      </c>
      <c r="L17" s="27" t="str">
        <f aca="false">IF(F17&lt;&gt;"YES","",IF(NOT(ISNUMBER(J17)),IF(Assumptions!$B$4&gt;H17,"LATE - Not Filed","Pending - within deadline"),IF(J17&lt;=H17,"On time","Late")))</f>
        <v/>
      </c>
      <c r="M17" s="27"/>
    </row>
    <row r="18" customFormat="false" ht="15" hidden="false" customHeight="false" outlineLevel="0" collapsed="false">
      <c r="A18" s="27" t="s">
        <v>296</v>
      </c>
      <c r="B18" s="28" t="n">
        <v>46308</v>
      </c>
      <c r="C18" s="27" t="str">
        <f aca="false">IFERROR(INDEX(Client_Master!$B$2:$B$41,MATCH(A18,Client_Master!$A$2:$A$41,0)),"UNKNOWN CLIENT")</f>
        <v>Ridgeway Used Cars Ltd</v>
      </c>
      <c r="D18" s="29" t="n">
        <f aca="false">SUMIFS(Transactions!$E$2:$E$114,Transactions!$C$2:$C$114,A18,Transactions!$B$2:$B$114,B18,Transactions!$D$2:$D$114,"Cash Deposit")</f>
        <v>5400</v>
      </c>
      <c r="E18" s="29" t="n">
        <f aca="false">SUMIFS(Transactions!$E$2:$E$114,Transactions!$C$2:$C$114,A18,Transactions!$B$2:$B$114,B18,Transactions!$D$2:$D$114,"Cash Withdrawal")</f>
        <v>0</v>
      </c>
      <c r="F18" s="27" t="str">
        <f aca="false">IF(OR(D18&gt;Assumptions!$B$5,E18&gt;Assumptions!$B$5),"YES","No")</f>
        <v>No</v>
      </c>
      <c r="G18" s="27" t="n">
        <f aca="false">COUNTIFS(Transactions!$C$2:$C$114,A18,Transactions!$B$2:$B$114,B18,Transactions!$I$2:$I$114,"Y")</f>
        <v>1</v>
      </c>
      <c r="H18" s="28" t="str">
        <f aca="false">IF(F18="YES",B18+Assumptions!$B$10,"")</f>
        <v/>
      </c>
      <c r="I18" s="27"/>
      <c r="J18" s="28"/>
      <c r="K18" s="27" t="str">
        <f aca="false">IF(AND(F18="YES",ISNUMBER(J18)),J18-B18,"")</f>
        <v/>
      </c>
      <c r="L18" s="27" t="str">
        <f aca="false">IF(F18&lt;&gt;"YES","",IF(NOT(ISNUMBER(J18)),IF(Assumptions!$B$4&gt;H18,"LATE - Not Filed","Pending - within deadline"),IF(J18&lt;=H18,"On time","Late")))</f>
        <v/>
      </c>
      <c r="M18" s="27"/>
    </row>
    <row r="19" customFormat="false" ht="15" hidden="false" customHeight="false" outlineLevel="0" collapsed="false">
      <c r="A19" s="27" t="s">
        <v>255</v>
      </c>
      <c r="B19" s="28" t="n">
        <v>46310</v>
      </c>
      <c r="C19" s="27" t="str">
        <f aca="false">IFERROR(INDEX(Client_Master!$B$2:$B$41,MATCH(A19,Client_Master!$A$2:$A$41,0)),"UNKNOWN CLIENT")</f>
        <v>Metro Fuel &amp; Convenience Stores Inc</v>
      </c>
      <c r="D19" s="29" t="n">
        <f aca="false">SUMIFS(Transactions!$E$2:$E$114,Transactions!$C$2:$C$114,A19,Transactions!$B$2:$B$114,B19,Transactions!$D$2:$D$114,"Cash Deposit")</f>
        <v>9200</v>
      </c>
      <c r="E19" s="29" t="n">
        <f aca="false">SUMIFS(Transactions!$E$2:$E$114,Transactions!$C$2:$C$114,A19,Transactions!$B$2:$B$114,B19,Transactions!$D$2:$D$114,"Cash Withdrawal")</f>
        <v>0</v>
      </c>
      <c r="F19" s="27" t="str">
        <f aca="false">IF(OR(D19&gt;Assumptions!$B$5,E19&gt;Assumptions!$B$5),"YES","No")</f>
        <v>No</v>
      </c>
      <c r="G19" s="27" t="n">
        <f aca="false">COUNTIFS(Transactions!$C$2:$C$114,A19,Transactions!$B$2:$B$114,B19,Transactions!$I$2:$I$114,"Y")</f>
        <v>1</v>
      </c>
      <c r="H19" s="28" t="str">
        <f aca="false">IF(F19="YES",B19+Assumptions!$B$10,"")</f>
        <v/>
      </c>
      <c r="I19" s="27"/>
      <c r="J19" s="28"/>
      <c r="K19" s="27" t="str">
        <f aca="false">IF(AND(F19="YES",ISNUMBER(J19)),J19-B19,"")</f>
        <v/>
      </c>
      <c r="L19" s="27" t="str">
        <f aca="false">IF(F19&lt;&gt;"YES","",IF(NOT(ISNUMBER(J19)),IF(Assumptions!$B$4&gt;H19,"LATE - Not Filed","Pending - within deadline"),IF(J19&lt;=H19,"On time","Late")))</f>
        <v/>
      </c>
      <c r="M19" s="27"/>
    </row>
    <row r="20" customFormat="false" ht="15" hidden="false" customHeight="false" outlineLevel="0" collapsed="false">
      <c r="A20" s="27" t="s">
        <v>255</v>
      </c>
      <c r="B20" s="28" t="n">
        <v>46311</v>
      </c>
      <c r="C20" s="27" t="str">
        <f aca="false">IFERROR(INDEX(Client_Master!$B$2:$B$41,MATCH(A20,Client_Master!$A$2:$A$41,0)),"UNKNOWN CLIENT")</f>
        <v>Metro Fuel &amp; Convenience Stores Inc</v>
      </c>
      <c r="D20" s="29" t="n">
        <f aca="false">SUMIFS(Transactions!$E$2:$E$114,Transactions!$C$2:$C$114,A20,Transactions!$B$2:$B$114,B20,Transactions!$D$2:$D$114,"Cash Deposit")</f>
        <v>9700</v>
      </c>
      <c r="E20" s="29" t="n">
        <f aca="false">SUMIFS(Transactions!$E$2:$E$114,Transactions!$C$2:$C$114,A20,Transactions!$B$2:$B$114,B20,Transactions!$D$2:$D$114,"Cash Withdrawal")</f>
        <v>0</v>
      </c>
      <c r="F20" s="27" t="str">
        <f aca="false">IF(OR(D20&gt;Assumptions!$B$5,E20&gt;Assumptions!$B$5),"YES","No")</f>
        <v>No</v>
      </c>
      <c r="G20" s="27" t="n">
        <f aca="false">COUNTIFS(Transactions!$C$2:$C$114,A20,Transactions!$B$2:$B$114,B20,Transactions!$I$2:$I$114,"Y")</f>
        <v>1</v>
      </c>
      <c r="H20" s="28" t="str">
        <f aca="false">IF(F20="YES",B20+Assumptions!$B$10,"")</f>
        <v/>
      </c>
      <c r="I20" s="27"/>
      <c r="J20" s="28"/>
      <c r="K20" s="27" t="str">
        <f aca="false">IF(AND(F20="YES",ISNUMBER(J20)),J20-B20,"")</f>
        <v/>
      </c>
      <c r="L20" s="27" t="str">
        <f aca="false">IF(F20&lt;&gt;"YES","",IF(NOT(ISNUMBER(J20)),IF(Assumptions!$B$4&gt;H20,"LATE - Not Filed","Pending - within deadline"),IF(J20&lt;=H20,"On time","Late")))</f>
        <v/>
      </c>
      <c r="M20" s="27"/>
    </row>
    <row r="21" customFormat="false" ht="15" hidden="false" customHeight="false" outlineLevel="0" collapsed="false">
      <c r="A21" s="27" t="s">
        <v>241</v>
      </c>
      <c r="B21" s="28" t="n">
        <v>46315</v>
      </c>
      <c r="C21" s="27" t="str">
        <f aca="false">IFERROR(INDEX(Client_Master!$B$2:$B$41,MATCH(A21,Client_Master!$A$2:$A$41,0)),"UNKNOWN CLIENT")</f>
        <v>Brightline Retail Holdings Inc</v>
      </c>
      <c r="D21" s="29" t="n">
        <f aca="false">SUMIFS(Transactions!$E$2:$E$114,Transactions!$C$2:$C$114,A21,Transactions!$B$2:$B$114,B21,Transactions!$D$2:$D$114,"Cash Deposit")</f>
        <v>14500</v>
      </c>
      <c r="E21" s="29" t="n">
        <f aca="false">SUMIFS(Transactions!$E$2:$E$114,Transactions!$C$2:$C$114,A21,Transactions!$B$2:$B$114,B21,Transactions!$D$2:$D$114,"Cash Withdrawal")</f>
        <v>0</v>
      </c>
      <c r="F21" s="27" t="str">
        <f aca="false">IF(OR(D21&gt;Assumptions!$B$5,E21&gt;Assumptions!$B$5),"YES","No")</f>
        <v>YES</v>
      </c>
      <c r="G21" s="27" t="n">
        <f aca="false">COUNTIFS(Transactions!$C$2:$C$114,A21,Transactions!$B$2:$B$114,B21,Transactions!$I$2:$I$114,"Y")</f>
        <v>1</v>
      </c>
      <c r="H21" s="28" t="n">
        <f aca="false">IF(F21="YES",B21+Assumptions!$B$10,"")</f>
        <v>46330</v>
      </c>
      <c r="I21" s="27" t="s">
        <v>464</v>
      </c>
      <c r="J21" s="28"/>
      <c r="K21" s="27" t="str">
        <f aca="false">IF(AND(F21="YES",ISNUMBER(J21)),J21-B21,"")</f>
        <v/>
      </c>
      <c r="L21" s="27" t="str">
        <f aca="false">IF(F21&lt;&gt;"YES","",IF(NOT(ISNUMBER(J21)),IF(Assumptions!$B$4&gt;H21,"LATE - Not Filed","Pending - within deadline"),IF(J21&lt;=H21,"On time","Late")))</f>
        <v>Pending - within deadline</v>
      </c>
      <c r="M21" s="27"/>
    </row>
  </sheetData>
  <autoFilter ref="A1:M21"/>
  <conditionalFormatting sqref="F2:F21">
    <cfRule type="expression" priority="2" aboveAverage="0" equalAverage="0" bottom="0" percent="0" rank="0" text="" dxfId="12">
      <formula>ISNUMBER(SEARCH("YES",F2))</formula>
    </cfRule>
  </conditionalFormatting>
  <conditionalFormatting sqref="L2:L21">
    <cfRule type="expression" priority="3" aboveAverage="0" equalAverage="0" bottom="0" percent="0" rank="0" text="" dxfId="12">
      <formula>ISNUMBER(SEARCH("LATE",L2))</formula>
    </cfRule>
    <cfRule type="expression" priority="4" aboveAverage="0" equalAverage="0" bottom="0" percent="0" rank="0" text="" dxfId="10">
      <formula>ISNUMBER(SEARCH("Pending",L2))</formula>
    </cfRule>
    <cfRule type="expression" priority="5" aboveAverage="0" equalAverage="0" bottom="0" percent="0" rank="0" text="" dxfId="11">
      <formula>ISNUMBER(SEARCH("On time",L2))</formula>
    </cfRule>
  </conditionalFormatting>
  <dataValidations count="1">
    <dataValidation allowBlank="true" errorStyle="stop" operator="between" showDropDown="false" showErrorMessage="false" showInputMessage="false" sqref="I2:I21" type="list">
      <formula1>"Filed,Pending,Not Filed"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15"/>
    <col collapsed="false" customWidth="true" hidden="false" outlineLevel="0" max="19" min="19" style="0" width="40"/>
    <col collapsed="false" customWidth="true" hidden="false" outlineLevel="0" max="20" min="20" style="0" width="3"/>
    <col collapsed="false" customWidth="true" hidden="false" outlineLevel="0" max="21" min="21" style="0" width="26"/>
    <col collapsed="false" customWidth="true" hidden="false" outlineLevel="0" max="22" min="22" style="0" width="80"/>
  </cols>
  <sheetData>
    <row r="1" customFormat="false" ht="54" hidden="false" customHeight="true" outlineLevel="0" collapsed="false">
      <c r="A1" s="26" t="s">
        <v>189</v>
      </c>
      <c r="B1" s="26" t="s">
        <v>306</v>
      </c>
      <c r="C1" s="26" t="s">
        <v>465</v>
      </c>
      <c r="D1" s="26" t="s">
        <v>466</v>
      </c>
      <c r="E1" s="26" t="s">
        <v>467</v>
      </c>
      <c r="F1" s="26" t="s">
        <v>468</v>
      </c>
      <c r="G1" s="26" t="s">
        <v>469</v>
      </c>
      <c r="H1" s="26" t="s">
        <v>470</v>
      </c>
      <c r="I1" s="26" t="s">
        <v>471</v>
      </c>
      <c r="J1" s="26" t="s">
        <v>472</v>
      </c>
      <c r="K1" s="26" t="s">
        <v>473</v>
      </c>
      <c r="L1" s="26" t="s">
        <v>474</v>
      </c>
      <c r="M1" s="26" t="s">
        <v>475</v>
      </c>
      <c r="N1" s="26" t="s">
        <v>476</v>
      </c>
      <c r="O1" s="26" t="s">
        <v>477</v>
      </c>
      <c r="P1" s="26" t="s">
        <v>478</v>
      </c>
      <c r="Q1" s="26" t="s">
        <v>479</v>
      </c>
      <c r="R1" s="26" t="s">
        <v>480</v>
      </c>
      <c r="S1" s="26" t="s">
        <v>481</v>
      </c>
      <c r="U1" s="30" t="s">
        <v>482</v>
      </c>
    </row>
    <row r="2" customFormat="false" ht="15" hidden="false" customHeight="false" outlineLevel="0" collapsed="false">
      <c r="A2" s="27" t="str">
        <f aca="false">Client_Master!A2</f>
        <v>C001</v>
      </c>
      <c r="B2" s="27" t="str">
        <f aca="false">Client_Master!B2</f>
        <v>Aurora Software Solutions Pvt Ltd</v>
      </c>
      <c r="C2" s="27" t="str">
        <f aca="false">Client_Master!H2</f>
        <v>Low</v>
      </c>
      <c r="D2" s="29" t="n">
        <f aca="false">SUMIFS(Transactions!$E$2:$E$114,Transactions!$C$2:$C$114,A2,Transactions!$I$2:$I$114,"Y")</f>
        <v>0</v>
      </c>
      <c r="E2" s="29" t="n">
        <f aca="false">Client_Master!O2*Assumptions!$B$9</f>
        <v>0</v>
      </c>
      <c r="F2" s="27" t="n">
        <f aca="false">COUNTIFS(Transactions!$C$2:$C$114,A2,Transactions!$K$2:$K$114,"Y")</f>
        <v>0</v>
      </c>
      <c r="G2" s="27" t="n">
        <f aca="false">COUNTIFS(CTR_Log!$A$2:$A$21,A2,CTR_Log!$F$2:$F$21,"YES")</f>
        <v>0</v>
      </c>
      <c r="H2" s="27" t="n">
        <f aca="false">COUNTIFS(Transactions!$C$2:$C$114,A2,Transactions!$L$2:$L$114,"&gt;=3")</f>
        <v>0</v>
      </c>
      <c r="I2" s="29" t="n">
        <f aca="false">SUMIFS(Transactions!$E$2:$E$114,Transactions!$C$2:$C$114,A2,Transactions!$D$2:$D$114,"Wire In")</f>
        <v>119900</v>
      </c>
      <c r="J2" s="29" t="n">
        <f aca="false">SUMIFS(Transactions!$E$2:$E$114,Transactions!$C$2:$C$114,A2,Transactions!$D$2:$D$114,"Wire Out")</f>
        <v>76800</v>
      </c>
      <c r="K2" s="27" t="n">
        <f aca="false">IF(F2&gt;=Assumptions!$B$7,1,0)</f>
        <v>0</v>
      </c>
      <c r="L2" s="27" t="n">
        <f aca="false">IF(AND(D2&gt;0,D2&gt;E2*Assumptions!$B$8),1,0)</f>
        <v>0</v>
      </c>
      <c r="M2" s="27" t="n">
        <f aca="false">IF(H2&gt;0,1,0)</f>
        <v>0</v>
      </c>
      <c r="N2" s="27" t="n">
        <f aca="false">IF(AND(Client_Master!N2="Y",I2+J2&gt;=Assumptions!$B$11),1,0)</f>
        <v>0</v>
      </c>
      <c r="O2" s="31" t="n">
        <f aca="false">IF(AND(I2&gt;=Assumptions!$B$13,J2&gt;=Assumptions!$B$13),IF(ABS(J2/I2-1)&lt;=Assumptions!$B$12,1,0),0)</f>
        <v>0</v>
      </c>
      <c r="P2" s="31" t="n">
        <f aca="false">IF(Client_Master!M2="Potential Match",1,0)</f>
        <v>0</v>
      </c>
      <c r="Q2" s="27" t="n">
        <f aca="false">SUM(K2:P2)</f>
        <v>0</v>
      </c>
      <c r="R2" s="27" t="str">
        <f aca="false">IF(OR(K2=1,M2=1,N2=1,P2=1,Q2&gt;=2),"ESCALATE",IF(Q2=1,"Analyst Review","No Action"))</f>
        <v>No Action</v>
      </c>
      <c r="S2" s="27" t="str">
        <f aca="false">TRIM(IF(K2=1,"R1 Structuring; ","")&amp;IF(L2=1,"R2 Cash&gt;Profile; ","")&amp;IF(M2=1,"R3 High-Risk Jurisdiction; ","")&amp;IF(N2=1,"R4 PEP Activity; ","")&amp;IF(O2=1,"R5 Pass-through; ","")&amp;IF(P2=1,"R6 Sanctions Hit; ",""))</f>
        <v/>
      </c>
      <c r="U2" s="6" t="s">
        <v>473</v>
      </c>
      <c r="V2" s="7" t="s">
        <v>483</v>
      </c>
    </row>
    <row r="3" customFormat="false" ht="15" hidden="false" customHeight="false" outlineLevel="0" collapsed="false">
      <c r="A3" s="27" t="str">
        <f aca="false">Client_Master!A3</f>
        <v>C002</v>
      </c>
      <c r="B3" s="27" t="str">
        <f aca="false">Client_Master!B3</f>
        <v>Nordic Precision Manufacturing GmbH</v>
      </c>
      <c r="C3" s="27" t="str">
        <f aca="false">Client_Master!H3</f>
        <v>Low</v>
      </c>
      <c r="D3" s="29" t="n">
        <f aca="false">SUMIFS(Transactions!$E$2:$E$114,Transactions!$C$2:$C$114,A3,Transactions!$I$2:$I$114,"Y")</f>
        <v>0</v>
      </c>
      <c r="E3" s="29" t="n">
        <f aca="false">Client_Master!O3*Assumptions!$B$9</f>
        <v>0</v>
      </c>
      <c r="F3" s="27" t="n">
        <f aca="false">COUNTIFS(Transactions!$C$2:$C$114,A3,Transactions!$K$2:$K$114,"Y")</f>
        <v>0</v>
      </c>
      <c r="G3" s="27" t="n">
        <f aca="false">COUNTIFS(CTR_Log!$A$2:$A$21,A3,CTR_Log!$F$2:$F$21,"YES")</f>
        <v>0</v>
      </c>
      <c r="H3" s="27" t="n">
        <f aca="false">COUNTIFS(Transactions!$C$2:$C$114,A3,Transactions!$L$2:$L$114,"&gt;=3")</f>
        <v>0</v>
      </c>
      <c r="I3" s="29" t="n">
        <f aca="false">SUMIFS(Transactions!$E$2:$E$114,Transactions!$C$2:$C$114,A3,Transactions!$D$2:$D$114,"Wire In")</f>
        <v>0</v>
      </c>
      <c r="J3" s="29" t="n">
        <f aca="false">SUMIFS(Transactions!$E$2:$E$114,Transactions!$C$2:$C$114,A3,Transactions!$D$2:$D$114,"Wire Out")</f>
        <v>207800</v>
      </c>
      <c r="K3" s="27" t="n">
        <f aca="false">IF(F3&gt;=Assumptions!$B$7,1,0)</f>
        <v>0</v>
      </c>
      <c r="L3" s="27" t="n">
        <f aca="false">IF(AND(D3&gt;0,D3&gt;E3*Assumptions!$B$8),1,0)</f>
        <v>0</v>
      </c>
      <c r="M3" s="27" t="n">
        <f aca="false">IF(H3&gt;0,1,0)</f>
        <v>0</v>
      </c>
      <c r="N3" s="27" t="n">
        <f aca="false">IF(AND(Client_Master!N3="Y",I3+J3&gt;=Assumptions!$B$11),1,0)</f>
        <v>0</v>
      </c>
      <c r="O3" s="31" t="n">
        <f aca="false">IF(AND(I3&gt;=Assumptions!$B$13,J3&gt;=Assumptions!$B$13),IF(ABS(J3/I3-1)&lt;=Assumptions!$B$12,1,0),0)</f>
        <v>0</v>
      </c>
      <c r="P3" s="31" t="n">
        <f aca="false">IF(Client_Master!M3="Potential Match",1,0)</f>
        <v>0</v>
      </c>
      <c r="Q3" s="27" t="n">
        <f aca="false">SUM(K3:P3)</f>
        <v>0</v>
      </c>
      <c r="R3" s="27" t="str">
        <f aca="false">IF(OR(K3=1,M3=1,N3=1,P3=1,Q3&gt;=2),"ESCALATE",IF(Q3=1,"Analyst Review","No Action"))</f>
        <v>No Action</v>
      </c>
      <c r="S3" s="27" t="str">
        <f aca="false">TRIM(IF(K3=1,"R1 Structuring; ","")&amp;IF(L3=1,"R2 Cash&gt;Profile; ","")&amp;IF(M3=1,"R3 High-Risk Jurisdiction; ","")&amp;IF(N3=1,"R4 PEP Activity; ","")&amp;IF(O3=1,"R5 Pass-through; ","")&amp;IF(P3=1,"R6 Sanctions Hit; ",""))</f>
        <v/>
      </c>
      <c r="U3" s="6" t="s">
        <v>474</v>
      </c>
      <c r="V3" s="7" t="s">
        <v>484</v>
      </c>
    </row>
    <row r="4" customFormat="false" ht="15" hidden="false" customHeight="false" outlineLevel="0" collapsed="false">
      <c r="A4" s="27" t="str">
        <f aca="false">Client_Master!A4</f>
        <v>C003</v>
      </c>
      <c r="B4" s="27" t="str">
        <f aca="false">Client_Master!B4</f>
        <v>Lotus Healthcare Systems Ltd</v>
      </c>
      <c r="C4" s="27" t="str">
        <f aca="false">Client_Master!H4</f>
        <v>Low</v>
      </c>
      <c r="D4" s="29" t="n">
        <f aca="false">SUMIFS(Transactions!$E$2:$E$114,Transactions!$C$2:$C$114,A4,Transactions!$I$2:$I$114,"Y")</f>
        <v>0</v>
      </c>
      <c r="E4" s="29" t="n">
        <f aca="false">Client_Master!O4*Assumptions!$B$9</f>
        <v>0</v>
      </c>
      <c r="F4" s="27" t="n">
        <f aca="false">COUNTIFS(Transactions!$C$2:$C$114,A4,Transactions!$K$2:$K$114,"Y")</f>
        <v>0</v>
      </c>
      <c r="G4" s="27" t="n">
        <f aca="false">COUNTIFS(CTR_Log!$A$2:$A$21,A4,CTR_Log!$F$2:$F$21,"YES")</f>
        <v>0</v>
      </c>
      <c r="H4" s="27" t="n">
        <f aca="false">COUNTIFS(Transactions!$C$2:$C$114,A4,Transactions!$L$2:$L$114,"&gt;=3")</f>
        <v>0</v>
      </c>
      <c r="I4" s="29" t="n">
        <f aca="false">SUMIFS(Transactions!$E$2:$E$114,Transactions!$C$2:$C$114,A4,Transactions!$D$2:$D$114,"Wire In")</f>
        <v>47700</v>
      </c>
      <c r="J4" s="29" t="n">
        <f aca="false">SUMIFS(Transactions!$E$2:$E$114,Transactions!$C$2:$C$114,A4,Transactions!$D$2:$D$114,"Wire Out")</f>
        <v>109000</v>
      </c>
      <c r="K4" s="27" t="n">
        <f aca="false">IF(F4&gt;=Assumptions!$B$7,1,0)</f>
        <v>0</v>
      </c>
      <c r="L4" s="27" t="n">
        <f aca="false">IF(AND(D4&gt;0,D4&gt;E4*Assumptions!$B$8),1,0)</f>
        <v>0</v>
      </c>
      <c r="M4" s="27" t="n">
        <f aca="false">IF(H4&gt;0,1,0)</f>
        <v>0</v>
      </c>
      <c r="N4" s="27" t="n">
        <f aca="false">IF(AND(Client_Master!N4="Y",I4+J4&gt;=Assumptions!$B$11),1,0)</f>
        <v>0</v>
      </c>
      <c r="O4" s="31" t="n">
        <f aca="false">IF(AND(I4&gt;=Assumptions!$B$13,J4&gt;=Assumptions!$B$13),IF(ABS(J4/I4-1)&lt;=Assumptions!$B$12,1,0),0)</f>
        <v>0</v>
      </c>
      <c r="P4" s="31" t="n">
        <f aca="false">IF(Client_Master!M4="Potential Match",1,0)</f>
        <v>0</v>
      </c>
      <c r="Q4" s="27" t="n">
        <f aca="false">SUM(K4:P4)</f>
        <v>0</v>
      </c>
      <c r="R4" s="27" t="str">
        <f aca="false">IF(OR(K4=1,M4=1,N4=1,P4=1,Q4&gt;=2),"ESCALATE",IF(Q4=1,"Analyst Review","No Action"))</f>
        <v>No Action</v>
      </c>
      <c r="S4" s="27" t="str">
        <f aca="false">TRIM(IF(K4=1,"R1 Structuring; ","")&amp;IF(L4=1,"R2 Cash&gt;Profile; ","")&amp;IF(M4=1,"R3 High-Risk Jurisdiction; ","")&amp;IF(N4=1,"R4 PEP Activity; ","")&amp;IF(O4=1,"R5 Pass-through; ","")&amp;IF(P4=1,"R6 Sanctions Hit; ",""))</f>
        <v/>
      </c>
      <c r="U4" s="6" t="s">
        <v>475</v>
      </c>
      <c r="V4" s="7" t="s">
        <v>485</v>
      </c>
    </row>
    <row r="5" customFormat="false" ht="15" hidden="false" customHeight="false" outlineLevel="0" collapsed="false">
      <c r="A5" s="27" t="str">
        <f aca="false">Client_Master!A5</f>
        <v>C004</v>
      </c>
      <c r="B5" s="27" t="str">
        <f aca="false">Client_Master!B5</f>
        <v>Thames Consulting Partners LLP</v>
      </c>
      <c r="C5" s="27" t="str">
        <f aca="false">Client_Master!H5</f>
        <v>Low</v>
      </c>
      <c r="D5" s="29" t="n">
        <f aca="false">SUMIFS(Transactions!$E$2:$E$114,Transactions!$C$2:$C$114,A5,Transactions!$I$2:$I$114,"Y")</f>
        <v>0</v>
      </c>
      <c r="E5" s="29" t="n">
        <f aca="false">Client_Master!O5*Assumptions!$B$9</f>
        <v>0</v>
      </c>
      <c r="F5" s="27" t="n">
        <f aca="false">COUNTIFS(Transactions!$C$2:$C$114,A5,Transactions!$K$2:$K$114,"Y")</f>
        <v>0</v>
      </c>
      <c r="G5" s="27" t="n">
        <f aca="false">COUNTIFS(CTR_Log!$A$2:$A$21,A5,CTR_Log!$F$2:$F$21,"YES")</f>
        <v>0</v>
      </c>
      <c r="H5" s="27" t="n">
        <f aca="false">COUNTIFS(Transactions!$C$2:$C$114,A5,Transactions!$L$2:$L$114,"&gt;=3")</f>
        <v>0</v>
      </c>
      <c r="I5" s="29" t="n">
        <f aca="false">SUMIFS(Transactions!$E$2:$E$114,Transactions!$C$2:$C$114,A5,Transactions!$D$2:$D$114,"Wire In")</f>
        <v>118000</v>
      </c>
      <c r="J5" s="29" t="n">
        <f aca="false">SUMIFS(Transactions!$E$2:$E$114,Transactions!$C$2:$C$114,A5,Transactions!$D$2:$D$114,"Wire Out")</f>
        <v>48500</v>
      </c>
      <c r="K5" s="27" t="n">
        <f aca="false">IF(F5&gt;=Assumptions!$B$7,1,0)</f>
        <v>0</v>
      </c>
      <c r="L5" s="27" t="n">
        <f aca="false">IF(AND(D5&gt;0,D5&gt;E5*Assumptions!$B$8),1,0)</f>
        <v>0</v>
      </c>
      <c r="M5" s="27" t="n">
        <f aca="false">IF(H5&gt;0,1,0)</f>
        <v>0</v>
      </c>
      <c r="N5" s="27" t="n">
        <f aca="false">IF(AND(Client_Master!N5="Y",I5+J5&gt;=Assumptions!$B$11),1,0)</f>
        <v>0</v>
      </c>
      <c r="O5" s="31" t="n">
        <f aca="false">IF(AND(I5&gt;=Assumptions!$B$13,J5&gt;=Assumptions!$B$13),IF(ABS(J5/I5-1)&lt;=Assumptions!$B$12,1,0),0)</f>
        <v>0</v>
      </c>
      <c r="P5" s="31" t="n">
        <f aca="false">IF(Client_Master!M5="Potential Match",1,0)</f>
        <v>0</v>
      </c>
      <c r="Q5" s="27" t="n">
        <f aca="false">SUM(K5:P5)</f>
        <v>0</v>
      </c>
      <c r="R5" s="27" t="str">
        <f aca="false">IF(OR(K5=1,M5=1,N5=1,P5=1,Q5&gt;=2),"ESCALATE",IF(Q5=1,"Analyst Review","No Action"))</f>
        <v>No Action</v>
      </c>
      <c r="S5" s="27" t="str">
        <f aca="false">TRIM(IF(K5=1,"R1 Structuring; ","")&amp;IF(L5=1,"R2 Cash&gt;Profile; ","")&amp;IF(M5=1,"R3 High-Risk Jurisdiction; ","")&amp;IF(N5=1,"R4 PEP Activity; ","")&amp;IF(O5=1,"R5 Pass-through; ","")&amp;IF(P5=1,"R6 Sanctions Hit; ",""))</f>
        <v/>
      </c>
      <c r="U5" s="6" t="s">
        <v>476</v>
      </c>
      <c r="V5" s="7" t="s">
        <v>486</v>
      </c>
    </row>
    <row r="6" customFormat="false" ht="15" hidden="false" customHeight="false" outlineLevel="0" collapsed="false">
      <c r="A6" s="27" t="str">
        <f aca="false">Client_Master!A6</f>
        <v>C005</v>
      </c>
      <c r="B6" s="27" t="str">
        <f aca="false">Client_Master!B6</f>
        <v>Spice Route Restaurants Group Inc</v>
      </c>
      <c r="C6" s="27" t="str">
        <f aca="false">Client_Master!H6</f>
        <v>Low</v>
      </c>
      <c r="D6" s="29" t="n">
        <f aca="false">SUMIFS(Transactions!$E$2:$E$114,Transactions!$C$2:$C$114,A6,Transactions!$I$2:$I$114,"Y")</f>
        <v>18800</v>
      </c>
      <c r="E6" s="29" t="n">
        <f aca="false">Client_Master!O6*Assumptions!$B$9</f>
        <v>80000</v>
      </c>
      <c r="F6" s="27" t="n">
        <f aca="false">COUNTIFS(Transactions!$C$2:$C$114,A6,Transactions!$K$2:$K$114,"Y")</f>
        <v>0</v>
      </c>
      <c r="G6" s="27" t="n">
        <f aca="false">COUNTIFS(CTR_Log!$A$2:$A$21,A6,CTR_Log!$F$2:$F$21,"YES")</f>
        <v>1</v>
      </c>
      <c r="H6" s="27" t="n">
        <f aca="false">COUNTIFS(Transactions!$C$2:$C$114,A6,Transactions!$L$2:$L$114,"&gt;=3")</f>
        <v>0</v>
      </c>
      <c r="I6" s="29" t="n">
        <f aca="false">SUMIFS(Transactions!$E$2:$E$114,Transactions!$C$2:$C$114,A6,Transactions!$D$2:$D$114,"Wire In")</f>
        <v>0</v>
      </c>
      <c r="J6" s="29" t="n">
        <f aca="false">SUMIFS(Transactions!$E$2:$E$114,Transactions!$C$2:$C$114,A6,Transactions!$D$2:$D$114,"Wire Out")</f>
        <v>0</v>
      </c>
      <c r="K6" s="27" t="n">
        <f aca="false">IF(F6&gt;=Assumptions!$B$7,1,0)</f>
        <v>0</v>
      </c>
      <c r="L6" s="27" t="n">
        <f aca="false">IF(AND(D6&gt;0,D6&gt;E6*Assumptions!$B$8),1,0)</f>
        <v>0</v>
      </c>
      <c r="M6" s="27" t="n">
        <f aca="false">IF(H6&gt;0,1,0)</f>
        <v>0</v>
      </c>
      <c r="N6" s="27" t="n">
        <f aca="false">IF(AND(Client_Master!N6="Y",I6+J6&gt;=Assumptions!$B$11),1,0)</f>
        <v>0</v>
      </c>
      <c r="O6" s="31" t="n">
        <f aca="false">IF(AND(I6&gt;=Assumptions!$B$13,J6&gt;=Assumptions!$B$13),IF(ABS(J6/I6-1)&lt;=Assumptions!$B$12,1,0),0)</f>
        <v>0</v>
      </c>
      <c r="P6" s="31" t="n">
        <f aca="false">IF(Client_Master!M6="Potential Match",1,0)</f>
        <v>0</v>
      </c>
      <c r="Q6" s="27" t="n">
        <f aca="false">SUM(K6:P6)</f>
        <v>0</v>
      </c>
      <c r="R6" s="27" t="str">
        <f aca="false">IF(OR(K6=1,M6=1,N6=1,P6=1,Q6&gt;=2),"ESCALATE",IF(Q6=1,"Analyst Review","No Action"))</f>
        <v>No Action</v>
      </c>
      <c r="S6" s="27" t="str">
        <f aca="false">TRIM(IF(K6=1,"R1 Structuring; ","")&amp;IF(L6=1,"R2 Cash&gt;Profile; ","")&amp;IF(M6=1,"R3 High-Risk Jurisdiction; ","")&amp;IF(N6=1,"R4 PEP Activity; ","")&amp;IF(O6=1,"R5 Pass-through; ","")&amp;IF(P6=1,"R6 Sanctions Hit; ",""))</f>
        <v/>
      </c>
      <c r="U6" s="6" t="s">
        <v>477</v>
      </c>
      <c r="V6" s="7" t="s">
        <v>487</v>
      </c>
    </row>
    <row r="7" customFormat="false" ht="15" hidden="false" customHeight="false" outlineLevel="0" collapsed="false">
      <c r="A7" s="27" t="str">
        <f aca="false">Client_Master!A7</f>
        <v>C006</v>
      </c>
      <c r="B7" s="27" t="str">
        <f aca="false">Client_Master!B7</f>
        <v>Meridian Textile Exports Pvt Ltd</v>
      </c>
      <c r="C7" s="27" t="str">
        <f aca="false">Client_Master!H7</f>
        <v>Low</v>
      </c>
      <c r="D7" s="29" t="n">
        <f aca="false">SUMIFS(Transactions!$E$2:$E$114,Transactions!$C$2:$C$114,A7,Transactions!$I$2:$I$114,"Y")</f>
        <v>0</v>
      </c>
      <c r="E7" s="29" t="n">
        <f aca="false">Client_Master!O7*Assumptions!$B$9</f>
        <v>0</v>
      </c>
      <c r="F7" s="27" t="n">
        <f aca="false">COUNTIFS(Transactions!$C$2:$C$114,A7,Transactions!$K$2:$K$114,"Y")</f>
        <v>0</v>
      </c>
      <c r="G7" s="27" t="n">
        <f aca="false">COUNTIFS(CTR_Log!$A$2:$A$21,A7,CTR_Log!$F$2:$F$21,"YES")</f>
        <v>0</v>
      </c>
      <c r="H7" s="27" t="n">
        <f aca="false">COUNTIFS(Transactions!$C$2:$C$114,A7,Transactions!$L$2:$L$114,"&gt;=3")</f>
        <v>0</v>
      </c>
      <c r="I7" s="29" t="n">
        <f aca="false">SUMIFS(Transactions!$E$2:$E$114,Transactions!$C$2:$C$114,A7,Transactions!$D$2:$D$114,"Wire In")</f>
        <v>155700</v>
      </c>
      <c r="J7" s="29" t="n">
        <f aca="false">SUMIFS(Transactions!$E$2:$E$114,Transactions!$C$2:$C$114,A7,Transactions!$D$2:$D$114,"Wire Out")</f>
        <v>81800</v>
      </c>
      <c r="K7" s="27" t="n">
        <f aca="false">IF(F7&gt;=Assumptions!$B$7,1,0)</f>
        <v>0</v>
      </c>
      <c r="L7" s="27" t="n">
        <f aca="false">IF(AND(D7&gt;0,D7&gt;E7*Assumptions!$B$8),1,0)</f>
        <v>0</v>
      </c>
      <c r="M7" s="27" t="n">
        <f aca="false">IF(H7&gt;0,1,0)</f>
        <v>0</v>
      </c>
      <c r="N7" s="27" t="n">
        <f aca="false">IF(AND(Client_Master!N7="Y",I7+J7&gt;=Assumptions!$B$11),1,0)</f>
        <v>0</v>
      </c>
      <c r="O7" s="31" t="n">
        <f aca="false">IF(AND(I7&gt;=Assumptions!$B$13,J7&gt;=Assumptions!$B$13),IF(ABS(J7/I7-1)&lt;=Assumptions!$B$12,1,0),0)</f>
        <v>0</v>
      </c>
      <c r="P7" s="31" t="n">
        <f aca="false">IF(Client_Master!M7="Potential Match",1,0)</f>
        <v>0</v>
      </c>
      <c r="Q7" s="27" t="n">
        <f aca="false">SUM(K7:P7)</f>
        <v>0</v>
      </c>
      <c r="R7" s="27" t="str">
        <f aca="false">IF(OR(K7=1,M7=1,N7=1,P7=1,Q7&gt;=2),"ESCALATE",IF(Q7=1,"Analyst Review","No Action"))</f>
        <v>No Action</v>
      </c>
      <c r="S7" s="27" t="str">
        <f aca="false">TRIM(IF(K7=1,"R1 Structuring; ","")&amp;IF(L7=1,"R2 Cash&gt;Profile; ","")&amp;IF(M7=1,"R3 High-Risk Jurisdiction; ","")&amp;IF(N7=1,"R4 PEP Activity; ","")&amp;IF(O7=1,"R5 Pass-through; ","")&amp;IF(P7=1,"R6 Sanctions Hit; ",""))</f>
        <v/>
      </c>
      <c r="U7" s="6" t="s">
        <v>478</v>
      </c>
      <c r="V7" s="7" t="s">
        <v>488</v>
      </c>
    </row>
    <row r="8" customFormat="false" ht="23.85" hidden="false" customHeight="false" outlineLevel="0" collapsed="false">
      <c r="A8" s="27" t="str">
        <f aca="false">Client_Master!A8</f>
        <v>C007</v>
      </c>
      <c r="B8" s="27" t="str">
        <f aca="false">Client_Master!B8</f>
        <v>Alpine Logistics AG</v>
      </c>
      <c r="C8" s="27" t="str">
        <f aca="false">Client_Master!H8</f>
        <v>Low</v>
      </c>
      <c r="D8" s="29" t="n">
        <f aca="false">SUMIFS(Transactions!$E$2:$E$114,Transactions!$C$2:$C$114,A8,Transactions!$I$2:$I$114,"Y")</f>
        <v>0</v>
      </c>
      <c r="E8" s="29" t="n">
        <f aca="false">Client_Master!O8*Assumptions!$B$9</f>
        <v>0</v>
      </c>
      <c r="F8" s="27" t="n">
        <f aca="false">COUNTIFS(Transactions!$C$2:$C$114,A8,Transactions!$K$2:$K$114,"Y")</f>
        <v>0</v>
      </c>
      <c r="G8" s="27" t="n">
        <f aca="false">COUNTIFS(CTR_Log!$A$2:$A$21,A8,CTR_Log!$F$2:$F$21,"YES")</f>
        <v>0</v>
      </c>
      <c r="H8" s="27" t="n">
        <f aca="false">COUNTIFS(Transactions!$C$2:$C$114,A8,Transactions!$L$2:$L$114,"&gt;=3")</f>
        <v>0</v>
      </c>
      <c r="I8" s="29" t="n">
        <f aca="false">SUMIFS(Transactions!$E$2:$E$114,Transactions!$C$2:$C$114,A8,Transactions!$D$2:$D$114,"Wire In")</f>
        <v>69700</v>
      </c>
      <c r="J8" s="29" t="n">
        <f aca="false">SUMIFS(Transactions!$E$2:$E$114,Transactions!$C$2:$C$114,A8,Transactions!$D$2:$D$114,"Wire Out")</f>
        <v>0</v>
      </c>
      <c r="K8" s="27" t="n">
        <f aca="false">IF(F8&gt;=Assumptions!$B$7,1,0)</f>
        <v>0</v>
      </c>
      <c r="L8" s="27" t="n">
        <f aca="false">IF(AND(D8&gt;0,D8&gt;E8*Assumptions!$B$8),1,0)</f>
        <v>0</v>
      </c>
      <c r="M8" s="27" t="n">
        <f aca="false">IF(H8&gt;0,1,0)</f>
        <v>0</v>
      </c>
      <c r="N8" s="27" t="n">
        <f aca="false">IF(AND(Client_Master!N8="Y",I8+J8&gt;=Assumptions!$B$11),1,0)</f>
        <v>0</v>
      </c>
      <c r="O8" s="31" t="n">
        <f aca="false">IF(AND(I8&gt;=Assumptions!$B$13,J8&gt;=Assumptions!$B$13),IF(ABS(J8/I8-1)&lt;=Assumptions!$B$12,1,0),0)</f>
        <v>0</v>
      </c>
      <c r="P8" s="31" t="n">
        <f aca="false">IF(Client_Master!M8="Potential Match",1,0)</f>
        <v>0</v>
      </c>
      <c r="Q8" s="27" t="n">
        <f aca="false">SUM(K8:P8)</f>
        <v>0</v>
      </c>
      <c r="R8" s="27" t="str">
        <f aca="false">IF(OR(K8=1,M8=1,N8=1,P8=1,Q8&gt;=2),"ESCALATE",IF(Q8=1,"Analyst Review","No Action"))</f>
        <v>No Action</v>
      </c>
      <c r="S8" s="27" t="str">
        <f aca="false">TRIM(IF(K8=1,"R1 Structuring; ","")&amp;IF(L8=1,"R2 Cash&gt;Profile; ","")&amp;IF(M8=1,"R3 High-Risk Jurisdiction; ","")&amp;IF(N8=1,"R4 PEP Activity; ","")&amp;IF(O8=1,"R5 Pass-through; ","")&amp;IF(P8=1,"R6 Sanctions Hit; ",""))</f>
        <v/>
      </c>
      <c r="U8" s="6" t="s">
        <v>480</v>
      </c>
      <c r="V8" s="7" t="s">
        <v>489</v>
      </c>
    </row>
    <row r="9" customFormat="false" ht="15" hidden="false" customHeight="false" outlineLevel="0" collapsed="false">
      <c r="A9" s="27" t="str">
        <f aca="false">Client_Master!A9</f>
        <v>C008</v>
      </c>
      <c r="B9" s="27" t="str">
        <f aca="false">Client_Master!B9</f>
        <v>Golden Crest Jewellers LLC</v>
      </c>
      <c r="C9" s="27" t="str">
        <f aca="false">Client_Master!H9</f>
        <v>Low</v>
      </c>
      <c r="D9" s="29" t="n">
        <f aca="false">SUMIFS(Transactions!$E$2:$E$114,Transactions!$C$2:$C$114,A9,Transactions!$I$2:$I$114,"Y")</f>
        <v>85000</v>
      </c>
      <c r="E9" s="29" t="n">
        <f aca="false">Client_Master!O9*Assumptions!$B$9</f>
        <v>40000</v>
      </c>
      <c r="F9" s="27" t="n">
        <f aca="false">COUNTIFS(Transactions!$C$2:$C$114,A9,Transactions!$K$2:$K$114,"Y")</f>
        <v>0</v>
      </c>
      <c r="G9" s="27" t="n">
        <f aca="false">COUNTIFS(CTR_Log!$A$2:$A$21,A9,CTR_Log!$F$2:$F$21,"YES")</f>
        <v>3</v>
      </c>
      <c r="H9" s="27" t="n">
        <f aca="false">COUNTIFS(Transactions!$C$2:$C$114,A9,Transactions!$L$2:$L$114,"&gt;=3")</f>
        <v>0</v>
      </c>
      <c r="I9" s="29" t="n">
        <f aca="false">SUMIFS(Transactions!$E$2:$E$114,Transactions!$C$2:$C$114,A9,Transactions!$D$2:$D$114,"Wire In")</f>
        <v>0</v>
      </c>
      <c r="J9" s="29" t="n">
        <f aca="false">SUMIFS(Transactions!$E$2:$E$114,Transactions!$C$2:$C$114,A9,Transactions!$D$2:$D$114,"Wire Out")</f>
        <v>0</v>
      </c>
      <c r="K9" s="27" t="n">
        <f aca="false">IF(F9&gt;=Assumptions!$B$7,1,0)</f>
        <v>0</v>
      </c>
      <c r="L9" s="27" t="n">
        <f aca="false">IF(AND(D9&gt;0,D9&gt;E9*Assumptions!$B$8),1,0)</f>
        <v>1</v>
      </c>
      <c r="M9" s="27" t="n">
        <f aca="false">IF(H9&gt;0,1,0)</f>
        <v>0</v>
      </c>
      <c r="N9" s="27" t="n">
        <f aca="false">IF(AND(Client_Master!N9="Y",I9+J9&gt;=Assumptions!$B$11),1,0)</f>
        <v>0</v>
      </c>
      <c r="O9" s="31" t="n">
        <f aca="false">IF(AND(I9&gt;=Assumptions!$B$13,J9&gt;=Assumptions!$B$13),IF(ABS(J9/I9-1)&lt;=Assumptions!$B$12,1,0),0)</f>
        <v>0</v>
      </c>
      <c r="P9" s="31" t="n">
        <f aca="false">IF(Client_Master!M9="Potential Match",1,0)</f>
        <v>0</v>
      </c>
      <c r="Q9" s="27" t="n">
        <f aca="false">SUM(K9:P9)</f>
        <v>1</v>
      </c>
      <c r="R9" s="27" t="str">
        <f aca="false">IF(OR(K9=1,M9=1,N9=1,P9=1,Q9&gt;=2),"ESCALATE",IF(Q9=1,"Analyst Review","No Action"))</f>
        <v>Analyst Review</v>
      </c>
      <c r="S9" s="27" t="str">
        <f aca="false">TRIM(IF(K9=1,"R1 Structuring; ","")&amp;IF(L9=1,"R2 Cash&gt;Profile; ","")&amp;IF(M9=1,"R3 High-Risk Jurisdiction; ","")&amp;IF(N9=1,"R4 PEP Activity; ","")&amp;IF(O9=1,"R5 Pass-through; ","")&amp;IF(P9=1,"R6 Sanctions Hit; ",""))</f>
        <v>R2 Cash&gt;Profile;</v>
      </c>
    </row>
    <row r="10" customFormat="false" ht="15" hidden="false" customHeight="false" outlineLevel="0" collapsed="false">
      <c r="A10" s="27" t="str">
        <f aca="false">Client_Master!A10</f>
        <v>C009</v>
      </c>
      <c r="B10" s="27" t="str">
        <f aca="false">Client_Master!B10</f>
        <v>Pinnacle Realty Developers Ltd</v>
      </c>
      <c r="C10" s="27" t="str">
        <f aca="false">Client_Master!H10</f>
        <v>Medium</v>
      </c>
      <c r="D10" s="29" t="n">
        <f aca="false">SUMIFS(Transactions!$E$2:$E$114,Transactions!$C$2:$C$114,A10,Transactions!$I$2:$I$114,"Y")</f>
        <v>0</v>
      </c>
      <c r="E10" s="29" t="n">
        <f aca="false">Client_Master!O10*Assumptions!$B$9</f>
        <v>0</v>
      </c>
      <c r="F10" s="27" t="n">
        <f aca="false">COUNTIFS(Transactions!$C$2:$C$114,A10,Transactions!$K$2:$K$114,"Y")</f>
        <v>0</v>
      </c>
      <c r="G10" s="27" t="n">
        <f aca="false">COUNTIFS(CTR_Log!$A$2:$A$21,A10,CTR_Log!$F$2:$F$21,"YES")</f>
        <v>0</v>
      </c>
      <c r="H10" s="27" t="n">
        <f aca="false">COUNTIFS(Transactions!$C$2:$C$114,A10,Transactions!$L$2:$L$114,"&gt;=3")</f>
        <v>0</v>
      </c>
      <c r="I10" s="29" t="n">
        <f aca="false">SUMIFS(Transactions!$E$2:$E$114,Transactions!$C$2:$C$114,A10,Transactions!$D$2:$D$114,"Wire In")</f>
        <v>74300</v>
      </c>
      <c r="J10" s="29" t="n">
        <f aca="false">SUMIFS(Transactions!$E$2:$E$114,Transactions!$C$2:$C$114,A10,Transactions!$D$2:$D$114,"Wire Out")</f>
        <v>0</v>
      </c>
      <c r="K10" s="27" t="n">
        <f aca="false">IF(F10&gt;=Assumptions!$B$7,1,0)</f>
        <v>0</v>
      </c>
      <c r="L10" s="27" t="n">
        <f aca="false">IF(AND(D10&gt;0,D10&gt;E10*Assumptions!$B$8),1,0)</f>
        <v>0</v>
      </c>
      <c r="M10" s="27" t="n">
        <f aca="false">IF(H10&gt;0,1,0)</f>
        <v>0</v>
      </c>
      <c r="N10" s="27" t="n">
        <f aca="false">IF(AND(Client_Master!N10="Y",I10+J10&gt;=Assumptions!$B$11),1,0)</f>
        <v>0</v>
      </c>
      <c r="O10" s="31" t="n">
        <f aca="false">IF(AND(I10&gt;=Assumptions!$B$13,J10&gt;=Assumptions!$B$13),IF(ABS(J10/I10-1)&lt;=Assumptions!$B$12,1,0),0)</f>
        <v>0</v>
      </c>
      <c r="P10" s="31" t="n">
        <f aca="false">IF(Client_Master!M10="Potential Match",1,0)</f>
        <v>0</v>
      </c>
      <c r="Q10" s="27" t="n">
        <f aca="false">SUM(K10:P10)</f>
        <v>0</v>
      </c>
      <c r="R10" s="27" t="str">
        <f aca="false">IF(OR(K10=1,M10=1,N10=1,P10=1,Q10&gt;=2),"ESCALATE",IF(Q10=1,"Analyst Review","No Action"))</f>
        <v>No Action</v>
      </c>
      <c r="S10" s="27" t="str">
        <f aca="false">TRIM(IF(K10=1,"R1 Structuring; ","")&amp;IF(L10=1,"R2 Cash&gt;Profile; ","")&amp;IF(M10=1,"R3 High-Risk Jurisdiction; ","")&amp;IF(N10=1,"R4 PEP Activity; ","")&amp;IF(O10=1,"R5 Pass-through; ","")&amp;IF(P10=1,"R6 Sanctions Hit; ",""))</f>
        <v/>
      </c>
    </row>
    <row r="11" customFormat="false" ht="15" hidden="false" customHeight="false" outlineLevel="0" collapsed="false">
      <c r="A11" s="27" t="str">
        <f aca="false">Client_Master!A11</f>
        <v>C010</v>
      </c>
      <c r="B11" s="27" t="str">
        <f aca="false">Client_Master!B11</f>
        <v>Harbour Point Trading Co</v>
      </c>
      <c r="C11" s="27" t="str">
        <f aca="false">Client_Master!H11</f>
        <v>Medium</v>
      </c>
      <c r="D11" s="29" t="n">
        <f aca="false">SUMIFS(Transactions!$E$2:$E$114,Transactions!$C$2:$C$114,A11,Transactions!$I$2:$I$114,"Y")</f>
        <v>0</v>
      </c>
      <c r="E11" s="29" t="n">
        <f aca="false">Client_Master!O11*Assumptions!$B$9</f>
        <v>0</v>
      </c>
      <c r="F11" s="27" t="n">
        <f aca="false">COUNTIFS(Transactions!$C$2:$C$114,A11,Transactions!$K$2:$K$114,"Y")</f>
        <v>0</v>
      </c>
      <c r="G11" s="27" t="n">
        <f aca="false">COUNTIFS(CTR_Log!$A$2:$A$21,A11,CTR_Log!$F$2:$F$21,"YES")</f>
        <v>0</v>
      </c>
      <c r="H11" s="27" t="n">
        <f aca="false">COUNTIFS(Transactions!$C$2:$C$114,A11,Transactions!$L$2:$L$114,"&gt;=3")</f>
        <v>0</v>
      </c>
      <c r="I11" s="29" t="n">
        <f aca="false">SUMIFS(Transactions!$E$2:$E$114,Transactions!$C$2:$C$114,A11,Transactions!$D$2:$D$114,"Wire In")</f>
        <v>82200</v>
      </c>
      <c r="J11" s="29" t="n">
        <f aca="false">SUMIFS(Transactions!$E$2:$E$114,Transactions!$C$2:$C$114,A11,Transactions!$D$2:$D$114,"Wire Out")</f>
        <v>60400</v>
      </c>
      <c r="K11" s="27" t="n">
        <f aca="false">IF(F11&gt;=Assumptions!$B$7,1,0)</f>
        <v>0</v>
      </c>
      <c r="L11" s="27" t="n">
        <f aca="false">IF(AND(D11&gt;0,D11&gt;E11*Assumptions!$B$8),1,0)</f>
        <v>0</v>
      </c>
      <c r="M11" s="27" t="n">
        <f aca="false">IF(H11&gt;0,1,0)</f>
        <v>0</v>
      </c>
      <c r="N11" s="27" t="n">
        <f aca="false">IF(AND(Client_Master!N11="Y",I11+J11&gt;=Assumptions!$B$11),1,0)</f>
        <v>0</v>
      </c>
      <c r="O11" s="31" t="n">
        <f aca="false">IF(AND(I11&gt;=Assumptions!$B$13,J11&gt;=Assumptions!$B$13),IF(ABS(J11/I11-1)&lt;=Assumptions!$B$12,1,0),0)</f>
        <v>0</v>
      </c>
      <c r="P11" s="31" t="n">
        <f aca="false">IF(Client_Master!M11="Potential Match",1,0)</f>
        <v>0</v>
      </c>
      <c r="Q11" s="27" t="n">
        <f aca="false">SUM(K11:P11)</f>
        <v>0</v>
      </c>
      <c r="R11" s="27" t="str">
        <f aca="false">IF(OR(K11=1,M11=1,N11=1,P11=1,Q11&gt;=2),"ESCALATE",IF(Q11=1,"Analyst Review","No Action"))</f>
        <v>No Action</v>
      </c>
      <c r="S11" s="27" t="str">
        <f aca="false">TRIM(IF(K11=1,"R1 Structuring; ","")&amp;IF(L11=1,"R2 Cash&gt;Profile; ","")&amp;IF(M11=1,"R3 High-Risk Jurisdiction; ","")&amp;IF(N11=1,"R4 PEP Activity; ","")&amp;IF(O11=1,"R5 Pass-through; ","")&amp;IF(P11=1,"R6 Sanctions Hit; ",""))</f>
        <v/>
      </c>
    </row>
    <row r="12" customFormat="false" ht="15" hidden="false" customHeight="false" outlineLevel="0" collapsed="false">
      <c r="A12" s="27" t="str">
        <f aca="false">Client_Master!A12</f>
        <v>C011</v>
      </c>
      <c r="B12" s="27" t="str">
        <f aca="false">Client_Master!B12</f>
        <v>Coral Reef Gaming Ltd</v>
      </c>
      <c r="C12" s="27" t="str">
        <f aca="false">Client_Master!H12</f>
        <v>Medium</v>
      </c>
      <c r="D12" s="29" t="n">
        <f aca="false">SUMIFS(Transactions!$E$2:$E$114,Transactions!$C$2:$C$114,A12,Transactions!$I$2:$I$114,"Y")</f>
        <v>0</v>
      </c>
      <c r="E12" s="29" t="n">
        <f aca="false">Client_Master!O12*Assumptions!$B$9</f>
        <v>0</v>
      </c>
      <c r="F12" s="27" t="n">
        <f aca="false">COUNTIFS(Transactions!$C$2:$C$114,A12,Transactions!$K$2:$K$114,"Y")</f>
        <v>0</v>
      </c>
      <c r="G12" s="27" t="n">
        <f aca="false">COUNTIFS(CTR_Log!$A$2:$A$21,A12,CTR_Log!$F$2:$F$21,"YES")</f>
        <v>0</v>
      </c>
      <c r="H12" s="27" t="n">
        <f aca="false">COUNTIFS(Transactions!$C$2:$C$114,A12,Transactions!$L$2:$L$114,"&gt;=3")</f>
        <v>0</v>
      </c>
      <c r="I12" s="29" t="n">
        <f aca="false">SUMIFS(Transactions!$E$2:$E$114,Transactions!$C$2:$C$114,A12,Transactions!$D$2:$D$114,"Wire In")</f>
        <v>124300</v>
      </c>
      <c r="J12" s="29" t="n">
        <f aca="false">SUMIFS(Transactions!$E$2:$E$114,Transactions!$C$2:$C$114,A12,Transactions!$D$2:$D$114,"Wire Out")</f>
        <v>32700</v>
      </c>
      <c r="K12" s="27" t="n">
        <f aca="false">IF(F12&gt;=Assumptions!$B$7,1,0)</f>
        <v>0</v>
      </c>
      <c r="L12" s="27" t="n">
        <f aca="false">IF(AND(D12&gt;0,D12&gt;E12*Assumptions!$B$8),1,0)</f>
        <v>0</v>
      </c>
      <c r="M12" s="27" t="n">
        <f aca="false">IF(H12&gt;0,1,0)</f>
        <v>0</v>
      </c>
      <c r="N12" s="27" t="n">
        <f aca="false">IF(AND(Client_Master!N12="Y",I12+J12&gt;=Assumptions!$B$11),1,0)</f>
        <v>0</v>
      </c>
      <c r="O12" s="31" t="n">
        <f aca="false">IF(AND(I12&gt;=Assumptions!$B$13,J12&gt;=Assumptions!$B$13),IF(ABS(J12/I12-1)&lt;=Assumptions!$B$12,1,0),0)</f>
        <v>0</v>
      </c>
      <c r="P12" s="31" t="n">
        <f aca="false">IF(Client_Master!M12="Potential Match",1,0)</f>
        <v>0</v>
      </c>
      <c r="Q12" s="27" t="n">
        <f aca="false">SUM(K12:P12)</f>
        <v>0</v>
      </c>
      <c r="R12" s="27" t="str">
        <f aca="false">IF(OR(K12=1,M12=1,N12=1,P12=1,Q12&gt;=2),"ESCALATE",IF(Q12=1,"Analyst Review","No Action"))</f>
        <v>No Action</v>
      </c>
      <c r="S12" s="27" t="str">
        <f aca="false">TRIM(IF(K12=1,"R1 Structuring; ","")&amp;IF(L12=1,"R2 Cash&gt;Profile; ","")&amp;IF(M12=1,"R3 High-Risk Jurisdiction; ","")&amp;IF(N12=1,"R4 PEP Activity; ","")&amp;IF(O12=1,"R5 Pass-through; ","")&amp;IF(P12=1,"R6 Sanctions Hit; ",""))</f>
        <v/>
      </c>
    </row>
    <row r="13" customFormat="false" ht="15" hidden="false" customHeight="false" outlineLevel="0" collapsed="false">
      <c r="A13" s="27" t="str">
        <f aca="false">Client_Master!A13</f>
        <v>C012</v>
      </c>
      <c r="B13" s="27" t="str">
        <f aca="false">Client_Master!B13</f>
        <v>Brightline Retail Holdings Inc</v>
      </c>
      <c r="C13" s="27" t="str">
        <f aca="false">Client_Master!H13</f>
        <v>Low</v>
      </c>
      <c r="D13" s="29" t="n">
        <f aca="false">SUMIFS(Transactions!$E$2:$E$114,Transactions!$C$2:$C$114,A13,Transactions!$I$2:$I$114,"Y")</f>
        <v>22500</v>
      </c>
      <c r="E13" s="29" t="n">
        <f aca="false">Client_Master!O13*Assumptions!$B$9</f>
        <v>90000</v>
      </c>
      <c r="F13" s="27" t="n">
        <f aca="false">COUNTIFS(Transactions!$C$2:$C$114,A13,Transactions!$K$2:$K$114,"Y")</f>
        <v>0</v>
      </c>
      <c r="G13" s="27" t="n">
        <f aca="false">COUNTIFS(CTR_Log!$A$2:$A$21,A13,CTR_Log!$F$2:$F$21,"YES")</f>
        <v>1</v>
      </c>
      <c r="H13" s="27" t="n">
        <f aca="false">COUNTIFS(Transactions!$C$2:$C$114,A13,Transactions!$L$2:$L$114,"&gt;=3")</f>
        <v>0</v>
      </c>
      <c r="I13" s="29" t="n">
        <f aca="false">SUMIFS(Transactions!$E$2:$E$114,Transactions!$C$2:$C$114,A13,Transactions!$D$2:$D$114,"Wire In")</f>
        <v>0</v>
      </c>
      <c r="J13" s="29" t="n">
        <f aca="false">SUMIFS(Transactions!$E$2:$E$114,Transactions!$C$2:$C$114,A13,Transactions!$D$2:$D$114,"Wire Out")</f>
        <v>0</v>
      </c>
      <c r="K13" s="27" t="n">
        <f aca="false">IF(F13&gt;=Assumptions!$B$7,1,0)</f>
        <v>0</v>
      </c>
      <c r="L13" s="27" t="n">
        <f aca="false">IF(AND(D13&gt;0,D13&gt;E13*Assumptions!$B$8),1,0)</f>
        <v>0</v>
      </c>
      <c r="M13" s="27" t="n">
        <f aca="false">IF(H13&gt;0,1,0)</f>
        <v>0</v>
      </c>
      <c r="N13" s="27" t="n">
        <f aca="false">IF(AND(Client_Master!N13="Y",I13+J13&gt;=Assumptions!$B$11),1,0)</f>
        <v>0</v>
      </c>
      <c r="O13" s="31" t="n">
        <f aca="false">IF(AND(I13&gt;=Assumptions!$B$13,J13&gt;=Assumptions!$B$13),IF(ABS(J13/I13-1)&lt;=Assumptions!$B$12,1,0),0)</f>
        <v>0</v>
      </c>
      <c r="P13" s="31" t="n">
        <f aca="false">IF(Client_Master!M13="Potential Match",1,0)</f>
        <v>0</v>
      </c>
      <c r="Q13" s="27" t="n">
        <f aca="false">SUM(K13:P13)</f>
        <v>0</v>
      </c>
      <c r="R13" s="27" t="str">
        <f aca="false">IF(OR(K13=1,M13=1,N13=1,P13=1,Q13&gt;=2),"ESCALATE",IF(Q13=1,"Analyst Review","No Action"))</f>
        <v>No Action</v>
      </c>
      <c r="S13" s="27" t="str">
        <f aca="false">TRIM(IF(K13=1,"R1 Structuring; ","")&amp;IF(L13=1,"R2 Cash&gt;Profile; ","")&amp;IF(M13=1,"R3 High-Risk Jurisdiction; ","")&amp;IF(N13=1,"R4 PEP Activity; ","")&amp;IF(O13=1,"R5 Pass-through; ","")&amp;IF(P13=1,"R6 Sanctions Hit; ",""))</f>
        <v/>
      </c>
    </row>
    <row r="14" customFormat="false" ht="15" hidden="false" customHeight="false" outlineLevel="0" collapsed="false">
      <c r="A14" s="27" t="str">
        <f aca="false">Client_Master!A14</f>
        <v>C013</v>
      </c>
      <c r="B14" s="27" t="str">
        <f aca="false">Client_Master!B14</f>
        <v>Sakura Electronics KK</v>
      </c>
      <c r="C14" s="27" t="str">
        <f aca="false">Client_Master!H14</f>
        <v>Low</v>
      </c>
      <c r="D14" s="29" t="n">
        <f aca="false">SUMIFS(Transactions!$E$2:$E$114,Transactions!$C$2:$C$114,A14,Transactions!$I$2:$I$114,"Y")</f>
        <v>0</v>
      </c>
      <c r="E14" s="29" t="n">
        <f aca="false">Client_Master!O14*Assumptions!$B$9</f>
        <v>0</v>
      </c>
      <c r="F14" s="27" t="n">
        <f aca="false">COUNTIFS(Transactions!$C$2:$C$114,A14,Transactions!$K$2:$K$114,"Y")</f>
        <v>0</v>
      </c>
      <c r="G14" s="27" t="n">
        <f aca="false">COUNTIFS(CTR_Log!$A$2:$A$21,A14,CTR_Log!$F$2:$F$21,"YES")</f>
        <v>0</v>
      </c>
      <c r="H14" s="27" t="n">
        <f aca="false">COUNTIFS(Transactions!$C$2:$C$114,A14,Transactions!$L$2:$L$114,"&gt;=3")</f>
        <v>0</v>
      </c>
      <c r="I14" s="29" t="n">
        <f aca="false">SUMIFS(Transactions!$E$2:$E$114,Transactions!$C$2:$C$114,A14,Transactions!$D$2:$D$114,"Wire In")</f>
        <v>80800</v>
      </c>
      <c r="J14" s="29" t="n">
        <f aca="false">SUMIFS(Transactions!$E$2:$E$114,Transactions!$C$2:$C$114,A14,Transactions!$D$2:$D$114,"Wire Out")</f>
        <v>58000</v>
      </c>
      <c r="K14" s="27" t="n">
        <f aca="false">IF(F14&gt;=Assumptions!$B$7,1,0)</f>
        <v>0</v>
      </c>
      <c r="L14" s="27" t="n">
        <f aca="false">IF(AND(D14&gt;0,D14&gt;E14*Assumptions!$B$8),1,0)</f>
        <v>0</v>
      </c>
      <c r="M14" s="27" t="n">
        <f aca="false">IF(H14&gt;0,1,0)</f>
        <v>0</v>
      </c>
      <c r="N14" s="27" t="n">
        <f aca="false">IF(AND(Client_Master!N14="Y",I14+J14&gt;=Assumptions!$B$11),1,0)</f>
        <v>0</v>
      </c>
      <c r="O14" s="31" t="n">
        <f aca="false">IF(AND(I14&gt;=Assumptions!$B$13,J14&gt;=Assumptions!$B$13),IF(ABS(J14/I14-1)&lt;=Assumptions!$B$12,1,0),0)</f>
        <v>0</v>
      </c>
      <c r="P14" s="31" t="n">
        <f aca="false">IF(Client_Master!M14="Potential Match",1,0)</f>
        <v>0</v>
      </c>
      <c r="Q14" s="27" t="n">
        <f aca="false">SUM(K14:P14)</f>
        <v>0</v>
      </c>
      <c r="R14" s="27" t="str">
        <f aca="false">IF(OR(K14=1,M14=1,N14=1,P14=1,Q14&gt;=2),"ESCALATE",IF(Q14=1,"Analyst Review","No Action"))</f>
        <v>No Action</v>
      </c>
      <c r="S14" s="27" t="str">
        <f aca="false">TRIM(IF(K14=1,"R1 Structuring; ","")&amp;IF(L14=1,"R2 Cash&gt;Profile; ","")&amp;IF(M14=1,"R3 High-Risk Jurisdiction; ","")&amp;IF(N14=1,"R4 PEP Activity; ","")&amp;IF(O14=1,"R5 Pass-through; ","")&amp;IF(P14=1,"R6 Sanctions Hit; ",""))</f>
        <v/>
      </c>
    </row>
    <row r="15" customFormat="false" ht="15" hidden="false" customHeight="false" outlineLevel="0" collapsed="false">
      <c r="A15" s="27" t="str">
        <f aca="false">Client_Master!A15</f>
        <v>C014</v>
      </c>
      <c r="B15" s="27" t="str">
        <f aca="false">Client_Master!B15</f>
        <v>Maple Leaf Health Clinics Inc</v>
      </c>
      <c r="C15" s="27" t="str">
        <f aca="false">Client_Master!H15</f>
        <v>Low</v>
      </c>
      <c r="D15" s="29" t="n">
        <f aca="false">SUMIFS(Transactions!$E$2:$E$114,Transactions!$C$2:$C$114,A15,Transactions!$I$2:$I$114,"Y")</f>
        <v>0</v>
      </c>
      <c r="E15" s="29" t="n">
        <f aca="false">Client_Master!O15*Assumptions!$B$9</f>
        <v>0</v>
      </c>
      <c r="F15" s="27" t="n">
        <f aca="false">COUNTIFS(Transactions!$C$2:$C$114,A15,Transactions!$K$2:$K$114,"Y")</f>
        <v>0</v>
      </c>
      <c r="G15" s="27" t="n">
        <f aca="false">COUNTIFS(CTR_Log!$A$2:$A$21,A15,CTR_Log!$F$2:$F$21,"YES")</f>
        <v>0</v>
      </c>
      <c r="H15" s="27" t="n">
        <f aca="false">COUNTIFS(Transactions!$C$2:$C$114,A15,Transactions!$L$2:$L$114,"&gt;=3")</f>
        <v>0</v>
      </c>
      <c r="I15" s="29" t="n">
        <f aca="false">SUMIFS(Transactions!$E$2:$E$114,Transactions!$C$2:$C$114,A15,Transactions!$D$2:$D$114,"Wire In")</f>
        <v>99600</v>
      </c>
      <c r="J15" s="29" t="n">
        <f aca="false">SUMIFS(Transactions!$E$2:$E$114,Transactions!$C$2:$C$114,A15,Transactions!$D$2:$D$114,"Wire Out")</f>
        <v>0</v>
      </c>
      <c r="K15" s="27" t="n">
        <f aca="false">IF(F15&gt;=Assumptions!$B$7,1,0)</f>
        <v>0</v>
      </c>
      <c r="L15" s="27" t="n">
        <f aca="false">IF(AND(D15&gt;0,D15&gt;E15*Assumptions!$B$8),1,0)</f>
        <v>0</v>
      </c>
      <c r="M15" s="27" t="n">
        <f aca="false">IF(H15&gt;0,1,0)</f>
        <v>0</v>
      </c>
      <c r="N15" s="27" t="n">
        <f aca="false">IF(AND(Client_Master!N15="Y",I15+J15&gt;=Assumptions!$B$11),1,0)</f>
        <v>0</v>
      </c>
      <c r="O15" s="31" t="n">
        <f aca="false">IF(AND(I15&gt;=Assumptions!$B$13,J15&gt;=Assumptions!$B$13),IF(ABS(J15/I15-1)&lt;=Assumptions!$B$12,1,0),0)</f>
        <v>0</v>
      </c>
      <c r="P15" s="31" t="n">
        <f aca="false">IF(Client_Master!M15="Potential Match",1,0)</f>
        <v>0</v>
      </c>
      <c r="Q15" s="27" t="n">
        <f aca="false">SUM(K15:P15)</f>
        <v>0</v>
      </c>
      <c r="R15" s="27" t="str">
        <f aca="false">IF(OR(K15=1,M15=1,N15=1,P15=1,Q15&gt;=2),"ESCALATE",IF(Q15=1,"Analyst Review","No Action"))</f>
        <v>No Action</v>
      </c>
      <c r="S15" s="27" t="str">
        <f aca="false">TRIM(IF(K15=1,"R1 Structuring; ","")&amp;IF(L15=1,"R2 Cash&gt;Profile; ","")&amp;IF(M15=1,"R3 High-Risk Jurisdiction; ","")&amp;IF(N15=1,"R4 PEP Activity; ","")&amp;IF(O15=1,"R5 Pass-through; ","")&amp;IF(P15=1,"R6 Sanctions Hit; ",""))</f>
        <v/>
      </c>
    </row>
    <row r="16" customFormat="false" ht="15" hidden="false" customHeight="false" outlineLevel="0" collapsed="false">
      <c r="A16" s="27" t="str">
        <f aca="false">Client_Master!A16</f>
        <v>C015</v>
      </c>
      <c r="B16" s="27" t="str">
        <f aca="false">Client_Master!B16</f>
        <v>Hollis Capital Partners LLP</v>
      </c>
      <c r="C16" s="27" t="str">
        <f aca="false">Client_Master!H16</f>
        <v>Medium</v>
      </c>
      <c r="D16" s="29" t="n">
        <f aca="false">SUMIFS(Transactions!$E$2:$E$114,Transactions!$C$2:$C$114,A16,Transactions!$I$2:$I$114,"Y")</f>
        <v>0</v>
      </c>
      <c r="E16" s="29" t="n">
        <f aca="false">Client_Master!O16*Assumptions!$B$9</f>
        <v>0</v>
      </c>
      <c r="F16" s="27" t="n">
        <f aca="false">COUNTIFS(Transactions!$C$2:$C$114,A16,Transactions!$K$2:$K$114,"Y")</f>
        <v>0</v>
      </c>
      <c r="G16" s="27" t="n">
        <f aca="false">COUNTIFS(CTR_Log!$A$2:$A$21,A16,CTR_Log!$F$2:$F$21,"YES")</f>
        <v>0</v>
      </c>
      <c r="H16" s="27" t="n">
        <f aca="false">COUNTIFS(Transactions!$C$2:$C$114,A16,Transactions!$L$2:$L$114,"&gt;=3")</f>
        <v>0</v>
      </c>
      <c r="I16" s="29" t="n">
        <f aca="false">SUMIFS(Transactions!$E$2:$E$114,Transactions!$C$2:$C$114,A16,Transactions!$D$2:$D$114,"Wire In")</f>
        <v>150000</v>
      </c>
      <c r="J16" s="29" t="n">
        <f aca="false">SUMIFS(Transactions!$E$2:$E$114,Transactions!$C$2:$C$114,A16,Transactions!$D$2:$D$114,"Wire Out")</f>
        <v>90000</v>
      </c>
      <c r="K16" s="27" t="n">
        <f aca="false">IF(F16&gt;=Assumptions!$B$7,1,0)</f>
        <v>0</v>
      </c>
      <c r="L16" s="27" t="n">
        <f aca="false">IF(AND(D16&gt;0,D16&gt;E16*Assumptions!$B$8),1,0)</f>
        <v>0</v>
      </c>
      <c r="M16" s="27" t="n">
        <f aca="false">IF(H16&gt;0,1,0)</f>
        <v>0</v>
      </c>
      <c r="N16" s="27" t="n">
        <f aca="false">IF(AND(Client_Master!N16="Y",I16+J16&gt;=Assumptions!$B$11),1,0)</f>
        <v>1</v>
      </c>
      <c r="O16" s="31" t="n">
        <f aca="false">IF(AND(I16&gt;=Assumptions!$B$13,J16&gt;=Assumptions!$B$13),IF(ABS(J16/I16-1)&lt;=Assumptions!$B$12,1,0),0)</f>
        <v>0</v>
      </c>
      <c r="P16" s="31" t="n">
        <f aca="false">IF(Client_Master!M16="Potential Match",1,0)</f>
        <v>0</v>
      </c>
      <c r="Q16" s="27" t="n">
        <f aca="false">SUM(K16:P16)</f>
        <v>1</v>
      </c>
      <c r="R16" s="27" t="str">
        <f aca="false">IF(OR(K16=1,M16=1,N16=1,P16=1,Q16&gt;=2),"ESCALATE",IF(Q16=1,"Analyst Review","No Action"))</f>
        <v>ESCALATE</v>
      </c>
      <c r="S16" s="27" t="str">
        <f aca="false">TRIM(IF(K16=1,"R1 Structuring; ","")&amp;IF(L16=1,"R2 Cash&gt;Profile; ","")&amp;IF(M16=1,"R3 High-Risk Jurisdiction; ","")&amp;IF(N16=1,"R4 PEP Activity; ","")&amp;IF(O16=1,"R5 Pass-through; ","")&amp;IF(P16=1,"R6 Sanctions Hit; ",""))</f>
        <v>R4 PEP Activity;</v>
      </c>
    </row>
    <row r="17" customFormat="false" ht="15" hidden="false" customHeight="false" outlineLevel="0" collapsed="false">
      <c r="A17" s="27" t="str">
        <f aca="false">Client_Master!A17</f>
        <v>C016</v>
      </c>
      <c r="B17" s="27" t="str">
        <f aca="false">Client_Master!B17</f>
        <v>Bluewave Software Labs Inc</v>
      </c>
      <c r="C17" s="27" t="str">
        <f aca="false">Client_Master!H17</f>
        <v>Low</v>
      </c>
      <c r="D17" s="29" t="n">
        <f aca="false">SUMIFS(Transactions!$E$2:$E$114,Transactions!$C$2:$C$114,A17,Transactions!$I$2:$I$114,"Y")</f>
        <v>0</v>
      </c>
      <c r="E17" s="29" t="n">
        <f aca="false">Client_Master!O17*Assumptions!$B$9</f>
        <v>0</v>
      </c>
      <c r="F17" s="27" t="n">
        <f aca="false">COUNTIFS(Transactions!$C$2:$C$114,A17,Transactions!$K$2:$K$114,"Y")</f>
        <v>0</v>
      </c>
      <c r="G17" s="27" t="n">
        <f aca="false">COUNTIFS(CTR_Log!$A$2:$A$21,A17,CTR_Log!$F$2:$F$21,"YES")</f>
        <v>0</v>
      </c>
      <c r="H17" s="27" t="n">
        <f aca="false">COUNTIFS(Transactions!$C$2:$C$114,A17,Transactions!$L$2:$L$114,"&gt;=3")</f>
        <v>0</v>
      </c>
      <c r="I17" s="29" t="n">
        <f aca="false">SUMIFS(Transactions!$E$2:$E$114,Transactions!$C$2:$C$114,A17,Transactions!$D$2:$D$114,"Wire In")</f>
        <v>0</v>
      </c>
      <c r="J17" s="29" t="n">
        <f aca="false">SUMIFS(Transactions!$E$2:$E$114,Transactions!$C$2:$C$114,A17,Transactions!$D$2:$D$114,"Wire Out")</f>
        <v>118500</v>
      </c>
      <c r="K17" s="27" t="n">
        <f aca="false">IF(F17&gt;=Assumptions!$B$7,1,0)</f>
        <v>0</v>
      </c>
      <c r="L17" s="27" t="n">
        <f aca="false">IF(AND(D17&gt;0,D17&gt;E17*Assumptions!$B$8),1,0)</f>
        <v>0</v>
      </c>
      <c r="M17" s="27" t="n">
        <f aca="false">IF(H17&gt;0,1,0)</f>
        <v>0</v>
      </c>
      <c r="N17" s="27" t="n">
        <f aca="false">IF(AND(Client_Master!N17="Y",I17+J17&gt;=Assumptions!$B$11),1,0)</f>
        <v>0</v>
      </c>
      <c r="O17" s="31" t="n">
        <f aca="false">IF(AND(I17&gt;=Assumptions!$B$13,J17&gt;=Assumptions!$B$13),IF(ABS(J17/I17-1)&lt;=Assumptions!$B$12,1,0),0)</f>
        <v>0</v>
      </c>
      <c r="P17" s="31" t="n">
        <f aca="false">IF(Client_Master!M17="Potential Match",1,0)</f>
        <v>0</v>
      </c>
      <c r="Q17" s="27" t="n">
        <f aca="false">SUM(K17:P17)</f>
        <v>0</v>
      </c>
      <c r="R17" s="27" t="str">
        <f aca="false">IF(OR(K17=1,M17=1,N17=1,P17=1,Q17&gt;=2),"ESCALATE",IF(Q17=1,"Analyst Review","No Action"))</f>
        <v>No Action</v>
      </c>
      <c r="S17" s="27" t="str">
        <f aca="false">TRIM(IF(K17=1,"R1 Structuring; ","")&amp;IF(L17=1,"R2 Cash&gt;Profile; ","")&amp;IF(M17=1,"R3 High-Risk Jurisdiction; ","")&amp;IF(N17=1,"R4 PEP Activity; ","")&amp;IF(O17=1,"R5 Pass-through; ","")&amp;IF(P17=1,"R6 Sanctions Hit; ",""))</f>
        <v/>
      </c>
    </row>
    <row r="18" customFormat="false" ht="15" hidden="false" customHeight="false" outlineLevel="0" collapsed="false">
      <c r="A18" s="27" t="str">
        <f aca="false">Client_Master!A18</f>
        <v>C017</v>
      </c>
      <c r="B18" s="27" t="str">
        <f aca="false">Client_Master!B18</f>
        <v>Evergreen Charitable Foundation</v>
      </c>
      <c r="C18" s="27" t="str">
        <f aca="false">Client_Master!H18</f>
        <v>Medium</v>
      </c>
      <c r="D18" s="29" t="n">
        <f aca="false">SUMIFS(Transactions!$E$2:$E$114,Transactions!$C$2:$C$114,A18,Transactions!$I$2:$I$114,"Y")</f>
        <v>0</v>
      </c>
      <c r="E18" s="29" t="n">
        <f aca="false">Client_Master!O18*Assumptions!$B$9</f>
        <v>0</v>
      </c>
      <c r="F18" s="27" t="n">
        <f aca="false">COUNTIFS(Transactions!$C$2:$C$114,A18,Transactions!$K$2:$K$114,"Y")</f>
        <v>0</v>
      </c>
      <c r="G18" s="27" t="n">
        <f aca="false">COUNTIFS(CTR_Log!$A$2:$A$21,A18,CTR_Log!$F$2:$F$21,"YES")</f>
        <v>0</v>
      </c>
      <c r="H18" s="27" t="n">
        <f aca="false">COUNTIFS(Transactions!$C$2:$C$114,A18,Transactions!$L$2:$L$114,"&gt;=3")</f>
        <v>0</v>
      </c>
      <c r="I18" s="29" t="n">
        <f aca="false">SUMIFS(Transactions!$E$2:$E$114,Transactions!$C$2:$C$114,A18,Transactions!$D$2:$D$114,"Wire In")</f>
        <v>159600</v>
      </c>
      <c r="J18" s="29" t="n">
        <f aca="false">SUMIFS(Transactions!$E$2:$E$114,Transactions!$C$2:$C$114,A18,Transactions!$D$2:$D$114,"Wire Out")</f>
        <v>0</v>
      </c>
      <c r="K18" s="27" t="n">
        <f aca="false">IF(F18&gt;=Assumptions!$B$7,1,0)</f>
        <v>0</v>
      </c>
      <c r="L18" s="27" t="n">
        <f aca="false">IF(AND(D18&gt;0,D18&gt;E18*Assumptions!$B$8),1,0)</f>
        <v>0</v>
      </c>
      <c r="M18" s="27" t="n">
        <f aca="false">IF(H18&gt;0,1,0)</f>
        <v>0</v>
      </c>
      <c r="N18" s="27" t="n">
        <f aca="false">IF(AND(Client_Master!N18="Y",I18+J18&gt;=Assumptions!$B$11),1,0)</f>
        <v>0</v>
      </c>
      <c r="O18" s="31" t="n">
        <f aca="false">IF(AND(I18&gt;=Assumptions!$B$13,J18&gt;=Assumptions!$B$13),IF(ABS(J18/I18-1)&lt;=Assumptions!$B$12,1,0),0)</f>
        <v>0</v>
      </c>
      <c r="P18" s="31" t="n">
        <f aca="false">IF(Client_Master!M18="Potential Match",1,0)</f>
        <v>0</v>
      </c>
      <c r="Q18" s="27" t="n">
        <f aca="false">SUM(K18:P18)</f>
        <v>0</v>
      </c>
      <c r="R18" s="27" t="str">
        <f aca="false">IF(OR(K18=1,M18=1,N18=1,P18=1,Q18&gt;=2),"ESCALATE",IF(Q18=1,"Analyst Review","No Action"))</f>
        <v>No Action</v>
      </c>
      <c r="S18" s="27" t="str">
        <f aca="false">TRIM(IF(K18=1,"R1 Structuring; ","")&amp;IF(L18=1,"R2 Cash&gt;Profile; ","")&amp;IF(M18=1,"R3 High-Risk Jurisdiction; ","")&amp;IF(N18=1,"R4 PEP Activity; ","")&amp;IF(O18=1,"R5 Pass-through; ","")&amp;IF(P18=1,"R6 Sanctions Hit; ",""))</f>
        <v/>
      </c>
    </row>
    <row r="19" customFormat="false" ht="15" hidden="false" customHeight="false" outlineLevel="0" collapsed="false">
      <c r="A19" s="27" t="str">
        <f aca="false">Client_Master!A19</f>
        <v>C018</v>
      </c>
      <c r="B19" s="27" t="str">
        <f aca="false">Client_Master!B19</f>
        <v>Orion Freight Forwarders Pvt Ltd</v>
      </c>
      <c r="C19" s="27" t="str">
        <f aca="false">Client_Master!H19</f>
        <v>Low</v>
      </c>
      <c r="D19" s="29" t="n">
        <f aca="false">SUMIFS(Transactions!$E$2:$E$114,Transactions!$C$2:$C$114,A19,Transactions!$I$2:$I$114,"Y")</f>
        <v>0</v>
      </c>
      <c r="E19" s="29" t="n">
        <f aca="false">Client_Master!O19*Assumptions!$B$9</f>
        <v>0</v>
      </c>
      <c r="F19" s="27" t="n">
        <f aca="false">COUNTIFS(Transactions!$C$2:$C$114,A19,Transactions!$K$2:$K$114,"Y")</f>
        <v>0</v>
      </c>
      <c r="G19" s="27" t="n">
        <f aca="false">COUNTIFS(CTR_Log!$A$2:$A$21,A19,CTR_Log!$F$2:$F$21,"YES")</f>
        <v>0</v>
      </c>
      <c r="H19" s="27" t="n">
        <f aca="false">COUNTIFS(Transactions!$C$2:$C$114,A19,Transactions!$L$2:$L$114,"&gt;=3")</f>
        <v>0</v>
      </c>
      <c r="I19" s="29" t="n">
        <f aca="false">SUMIFS(Transactions!$E$2:$E$114,Transactions!$C$2:$C$114,A19,Transactions!$D$2:$D$114,"Wire In")</f>
        <v>86700</v>
      </c>
      <c r="J19" s="29" t="n">
        <f aca="false">SUMIFS(Transactions!$E$2:$E$114,Transactions!$C$2:$C$114,A19,Transactions!$D$2:$D$114,"Wire Out")</f>
        <v>59900</v>
      </c>
      <c r="K19" s="27" t="n">
        <f aca="false">IF(F19&gt;=Assumptions!$B$7,1,0)</f>
        <v>0</v>
      </c>
      <c r="L19" s="27" t="n">
        <f aca="false">IF(AND(D19&gt;0,D19&gt;E19*Assumptions!$B$8),1,0)</f>
        <v>0</v>
      </c>
      <c r="M19" s="27" t="n">
        <f aca="false">IF(H19&gt;0,1,0)</f>
        <v>0</v>
      </c>
      <c r="N19" s="27" t="n">
        <f aca="false">IF(AND(Client_Master!N19="Y",I19+J19&gt;=Assumptions!$B$11),1,0)</f>
        <v>0</v>
      </c>
      <c r="O19" s="31" t="n">
        <f aca="false">IF(AND(I19&gt;=Assumptions!$B$13,J19&gt;=Assumptions!$B$13),IF(ABS(J19/I19-1)&lt;=Assumptions!$B$12,1,0),0)</f>
        <v>0</v>
      </c>
      <c r="P19" s="31" t="n">
        <f aca="false">IF(Client_Master!M19="Potential Match",1,0)</f>
        <v>0</v>
      </c>
      <c r="Q19" s="27" t="n">
        <f aca="false">SUM(K19:P19)</f>
        <v>0</v>
      </c>
      <c r="R19" s="27" t="str">
        <f aca="false">IF(OR(K19=1,M19=1,N19=1,P19=1,Q19&gt;=2),"ESCALATE",IF(Q19=1,"Analyst Review","No Action"))</f>
        <v>No Action</v>
      </c>
      <c r="S19" s="27" t="str">
        <f aca="false">TRIM(IF(K19=1,"R1 Structuring; ","")&amp;IF(L19=1,"R2 Cash&gt;Profile; ","")&amp;IF(M19=1,"R3 High-Risk Jurisdiction; ","")&amp;IF(N19=1,"R4 PEP Activity; ","")&amp;IF(O19=1,"R5 Pass-through; ","")&amp;IF(P19=1,"R6 Sanctions Hit; ",""))</f>
        <v/>
      </c>
    </row>
    <row r="20" customFormat="false" ht="15" hidden="false" customHeight="false" outlineLevel="0" collapsed="false">
      <c r="A20" s="27" t="str">
        <f aca="false">Client_Master!A20</f>
        <v>C019</v>
      </c>
      <c r="B20" s="27" t="str">
        <f aca="false">Client_Master!B20</f>
        <v>Metro Fuel &amp; Convenience Stores Inc</v>
      </c>
      <c r="C20" s="27" t="str">
        <f aca="false">Client_Master!H20</f>
        <v>Low</v>
      </c>
      <c r="D20" s="29" t="n">
        <f aca="false">SUMIFS(Transactions!$E$2:$E$114,Transactions!$C$2:$C$114,A20,Transactions!$I$2:$I$114,"Y")</f>
        <v>45300</v>
      </c>
      <c r="E20" s="29" t="n">
        <f aca="false">Client_Master!O20*Assumptions!$B$9</f>
        <v>60000</v>
      </c>
      <c r="F20" s="27" t="n">
        <f aca="false">COUNTIFS(Transactions!$C$2:$C$114,A20,Transactions!$K$2:$K$114,"Y")</f>
        <v>4</v>
      </c>
      <c r="G20" s="27" t="n">
        <f aca="false">COUNTIFS(CTR_Log!$A$2:$A$21,A20,CTR_Log!$F$2:$F$21,"YES")</f>
        <v>0</v>
      </c>
      <c r="H20" s="27" t="n">
        <f aca="false">COUNTIFS(Transactions!$C$2:$C$114,A20,Transactions!$L$2:$L$114,"&gt;=3")</f>
        <v>0</v>
      </c>
      <c r="I20" s="29" t="n">
        <f aca="false">SUMIFS(Transactions!$E$2:$E$114,Transactions!$C$2:$C$114,A20,Transactions!$D$2:$D$114,"Wire In")</f>
        <v>0</v>
      </c>
      <c r="J20" s="29" t="n">
        <f aca="false">SUMIFS(Transactions!$E$2:$E$114,Transactions!$C$2:$C$114,A20,Transactions!$D$2:$D$114,"Wire Out")</f>
        <v>0</v>
      </c>
      <c r="K20" s="27" t="n">
        <f aca="false">IF(F20&gt;=Assumptions!$B$7,1,0)</f>
        <v>1</v>
      </c>
      <c r="L20" s="27" t="n">
        <f aca="false">IF(AND(D20&gt;0,D20&gt;E20*Assumptions!$B$8),1,0)</f>
        <v>0</v>
      </c>
      <c r="M20" s="27" t="n">
        <f aca="false">IF(H20&gt;0,1,0)</f>
        <v>0</v>
      </c>
      <c r="N20" s="27" t="n">
        <f aca="false">IF(AND(Client_Master!N20="Y",I20+J20&gt;=Assumptions!$B$11),1,0)</f>
        <v>0</v>
      </c>
      <c r="O20" s="31" t="n">
        <f aca="false">IF(AND(I20&gt;=Assumptions!$B$13,J20&gt;=Assumptions!$B$13),IF(ABS(J20/I20-1)&lt;=Assumptions!$B$12,1,0),0)</f>
        <v>0</v>
      </c>
      <c r="P20" s="31" t="n">
        <f aca="false">IF(Client_Master!M20="Potential Match",1,0)</f>
        <v>0</v>
      </c>
      <c r="Q20" s="27" t="n">
        <f aca="false">SUM(K20:P20)</f>
        <v>1</v>
      </c>
      <c r="R20" s="27" t="str">
        <f aca="false">IF(OR(K20=1,M20=1,N20=1,P20=1,Q20&gt;=2),"ESCALATE",IF(Q20=1,"Analyst Review","No Action"))</f>
        <v>ESCALATE</v>
      </c>
      <c r="S20" s="27" t="str">
        <f aca="false">TRIM(IF(K20=1,"R1 Structuring; ","")&amp;IF(L20=1,"R2 Cash&gt;Profile; ","")&amp;IF(M20=1,"R3 High-Risk Jurisdiction; ","")&amp;IF(N20=1,"R4 PEP Activity; ","")&amp;IF(O20=1,"R5 Pass-through; ","")&amp;IF(P20=1,"R6 Sanctions Hit; ",""))</f>
        <v>R1 Structuring;</v>
      </c>
    </row>
    <row r="21" customFormat="false" ht="15" hidden="false" customHeight="false" outlineLevel="0" collapsed="false">
      <c r="A21" s="27" t="str">
        <f aca="false">Client_Master!A21</f>
        <v>C020</v>
      </c>
      <c r="B21" s="27" t="str">
        <f aca="false">Client_Master!B21</f>
        <v>Rhine Valley Pharma GmbH</v>
      </c>
      <c r="C21" s="27" t="str">
        <f aca="false">Client_Master!H21</f>
        <v>Low</v>
      </c>
      <c r="D21" s="29" t="n">
        <f aca="false">SUMIFS(Transactions!$E$2:$E$114,Transactions!$C$2:$C$114,A21,Transactions!$I$2:$I$114,"Y")</f>
        <v>0</v>
      </c>
      <c r="E21" s="29" t="n">
        <f aca="false">Client_Master!O21*Assumptions!$B$9</f>
        <v>0</v>
      </c>
      <c r="F21" s="27" t="n">
        <f aca="false">COUNTIFS(Transactions!$C$2:$C$114,A21,Transactions!$K$2:$K$114,"Y")</f>
        <v>0</v>
      </c>
      <c r="G21" s="27" t="n">
        <f aca="false">COUNTIFS(CTR_Log!$A$2:$A$21,A21,CTR_Log!$F$2:$F$21,"YES")</f>
        <v>0</v>
      </c>
      <c r="H21" s="27" t="n">
        <f aca="false">COUNTIFS(Transactions!$C$2:$C$114,A21,Transactions!$L$2:$L$114,"&gt;=3")</f>
        <v>0</v>
      </c>
      <c r="I21" s="29" t="n">
        <f aca="false">SUMIFS(Transactions!$E$2:$E$114,Transactions!$C$2:$C$114,A21,Transactions!$D$2:$D$114,"Wire In")</f>
        <v>67700</v>
      </c>
      <c r="J21" s="29" t="n">
        <f aca="false">SUMIFS(Transactions!$E$2:$E$114,Transactions!$C$2:$C$114,A21,Transactions!$D$2:$D$114,"Wire Out")</f>
        <v>0</v>
      </c>
      <c r="K21" s="27" t="n">
        <f aca="false">IF(F21&gt;=Assumptions!$B$7,1,0)</f>
        <v>0</v>
      </c>
      <c r="L21" s="27" t="n">
        <f aca="false">IF(AND(D21&gt;0,D21&gt;E21*Assumptions!$B$8),1,0)</f>
        <v>0</v>
      </c>
      <c r="M21" s="27" t="n">
        <f aca="false">IF(H21&gt;0,1,0)</f>
        <v>0</v>
      </c>
      <c r="N21" s="27" t="n">
        <f aca="false">IF(AND(Client_Master!N21="Y",I21+J21&gt;=Assumptions!$B$11),1,0)</f>
        <v>0</v>
      </c>
      <c r="O21" s="31" t="n">
        <f aca="false">IF(AND(I21&gt;=Assumptions!$B$13,J21&gt;=Assumptions!$B$13),IF(ABS(J21/I21-1)&lt;=Assumptions!$B$12,1,0),0)</f>
        <v>0</v>
      </c>
      <c r="P21" s="31" t="n">
        <f aca="false">IF(Client_Master!M21="Potential Match",1,0)</f>
        <v>0</v>
      </c>
      <c r="Q21" s="27" t="n">
        <f aca="false">SUM(K21:P21)</f>
        <v>0</v>
      </c>
      <c r="R21" s="27" t="str">
        <f aca="false">IF(OR(K21=1,M21=1,N21=1,P21=1,Q21&gt;=2),"ESCALATE",IF(Q21=1,"Analyst Review","No Action"))</f>
        <v>No Action</v>
      </c>
      <c r="S21" s="27" t="str">
        <f aca="false">TRIM(IF(K21=1,"R1 Structuring; ","")&amp;IF(L21=1,"R2 Cash&gt;Profile; ","")&amp;IF(M21=1,"R3 High-Risk Jurisdiction; ","")&amp;IF(N21=1,"R4 PEP Activity; ","")&amp;IF(O21=1,"R5 Pass-through; ","")&amp;IF(P21=1,"R6 Sanctions Hit; ",""))</f>
        <v/>
      </c>
    </row>
    <row r="22" customFormat="false" ht="15" hidden="false" customHeight="false" outlineLevel="0" collapsed="false">
      <c r="A22" s="27" t="str">
        <f aca="false">Client_Master!A22</f>
        <v>C021</v>
      </c>
      <c r="B22" s="27" t="str">
        <f aca="false">Client_Master!B22</f>
        <v>Kestrel Engineering Services Pte Ltd</v>
      </c>
      <c r="C22" s="27" t="str">
        <f aca="false">Client_Master!H22</f>
        <v>Low</v>
      </c>
      <c r="D22" s="29" t="n">
        <f aca="false">SUMIFS(Transactions!$E$2:$E$114,Transactions!$C$2:$C$114,A22,Transactions!$I$2:$I$114,"Y")</f>
        <v>0</v>
      </c>
      <c r="E22" s="29" t="n">
        <f aca="false">Client_Master!O22*Assumptions!$B$9</f>
        <v>0</v>
      </c>
      <c r="F22" s="27" t="n">
        <f aca="false">COUNTIFS(Transactions!$C$2:$C$114,A22,Transactions!$K$2:$K$114,"Y")</f>
        <v>0</v>
      </c>
      <c r="G22" s="27" t="n">
        <f aca="false">COUNTIFS(CTR_Log!$A$2:$A$21,A22,CTR_Log!$F$2:$F$21,"YES")</f>
        <v>0</v>
      </c>
      <c r="H22" s="27" t="n">
        <f aca="false">COUNTIFS(Transactions!$C$2:$C$114,A22,Transactions!$L$2:$L$114,"&gt;=3")</f>
        <v>0</v>
      </c>
      <c r="I22" s="29" t="n">
        <f aca="false">SUMIFS(Transactions!$E$2:$E$114,Transactions!$C$2:$C$114,A22,Transactions!$D$2:$D$114,"Wire In")</f>
        <v>73500</v>
      </c>
      <c r="J22" s="29" t="n">
        <f aca="false">SUMIFS(Transactions!$E$2:$E$114,Transactions!$C$2:$C$114,A22,Transactions!$D$2:$D$114,"Wire Out")</f>
        <v>48100</v>
      </c>
      <c r="K22" s="27" t="n">
        <f aca="false">IF(F22&gt;=Assumptions!$B$7,1,0)</f>
        <v>0</v>
      </c>
      <c r="L22" s="27" t="n">
        <f aca="false">IF(AND(D22&gt;0,D22&gt;E22*Assumptions!$B$8),1,0)</f>
        <v>0</v>
      </c>
      <c r="M22" s="27" t="n">
        <f aca="false">IF(H22&gt;0,1,0)</f>
        <v>0</v>
      </c>
      <c r="N22" s="27" t="n">
        <f aca="false">IF(AND(Client_Master!N22="Y",I22+J22&gt;=Assumptions!$B$11),1,0)</f>
        <v>0</v>
      </c>
      <c r="O22" s="31" t="n">
        <f aca="false">IF(AND(I22&gt;=Assumptions!$B$13,J22&gt;=Assumptions!$B$13),IF(ABS(J22/I22-1)&lt;=Assumptions!$B$12,1,0),0)</f>
        <v>0</v>
      </c>
      <c r="P22" s="31" t="n">
        <f aca="false">IF(Client_Master!M22="Potential Match",1,0)</f>
        <v>0</v>
      </c>
      <c r="Q22" s="27" t="n">
        <f aca="false">SUM(K22:P22)</f>
        <v>0</v>
      </c>
      <c r="R22" s="27" t="str">
        <f aca="false">IF(OR(K22=1,M22=1,N22=1,P22=1,Q22&gt;=2),"ESCALATE",IF(Q22=1,"Analyst Review","No Action"))</f>
        <v>No Action</v>
      </c>
      <c r="S22" s="27" t="str">
        <f aca="false">TRIM(IF(K22=1,"R1 Structuring; ","")&amp;IF(L22=1,"R2 Cash&gt;Profile; ","")&amp;IF(M22=1,"R3 High-Risk Jurisdiction; ","")&amp;IF(N22=1,"R4 PEP Activity; ","")&amp;IF(O22=1,"R5 Pass-through; ","")&amp;IF(P22=1,"R6 Sanctions Hit; ",""))</f>
        <v/>
      </c>
    </row>
    <row r="23" customFormat="false" ht="15" hidden="false" customHeight="false" outlineLevel="0" collapsed="false">
      <c r="A23" s="27" t="str">
        <f aca="false">Client_Master!A23</f>
        <v>C022</v>
      </c>
      <c r="B23" s="27" t="str">
        <f aca="false">Client_Master!B23</f>
        <v>Vantage Commodities Trading FZE</v>
      </c>
      <c r="C23" s="27" t="str">
        <f aca="false">Client_Master!H23</f>
        <v>Medium</v>
      </c>
      <c r="D23" s="29" t="n">
        <f aca="false">SUMIFS(Transactions!$E$2:$E$114,Transactions!$C$2:$C$114,A23,Transactions!$I$2:$I$114,"Y")</f>
        <v>0</v>
      </c>
      <c r="E23" s="29" t="n">
        <f aca="false">Client_Master!O23*Assumptions!$B$9</f>
        <v>0</v>
      </c>
      <c r="F23" s="27" t="n">
        <f aca="false">COUNTIFS(Transactions!$C$2:$C$114,A23,Transactions!$K$2:$K$114,"Y")</f>
        <v>0</v>
      </c>
      <c r="G23" s="27" t="n">
        <f aca="false">COUNTIFS(CTR_Log!$A$2:$A$21,A23,CTR_Log!$F$2:$F$21,"YES")</f>
        <v>0</v>
      </c>
      <c r="H23" s="27" t="n">
        <f aca="false">COUNTIFS(Transactions!$C$2:$C$114,A23,Transactions!$L$2:$L$114,"&gt;=3")</f>
        <v>0</v>
      </c>
      <c r="I23" s="29" t="n">
        <f aca="false">SUMIFS(Transactions!$E$2:$E$114,Transactions!$C$2:$C$114,A23,Transactions!$D$2:$D$114,"Wire In")</f>
        <v>250000</v>
      </c>
      <c r="J23" s="29" t="n">
        <f aca="false">SUMIFS(Transactions!$E$2:$E$114,Transactions!$C$2:$C$114,A23,Transactions!$D$2:$D$114,"Wire Out")</f>
        <v>246500</v>
      </c>
      <c r="K23" s="27" t="n">
        <f aca="false">IF(F23&gt;=Assumptions!$B$7,1,0)</f>
        <v>0</v>
      </c>
      <c r="L23" s="27" t="n">
        <f aca="false">IF(AND(D23&gt;0,D23&gt;E23*Assumptions!$B$8),1,0)</f>
        <v>0</v>
      </c>
      <c r="M23" s="27" t="n">
        <f aca="false">IF(H23&gt;0,1,0)</f>
        <v>0</v>
      </c>
      <c r="N23" s="27" t="n">
        <f aca="false">IF(AND(Client_Master!N23="Y",I23+J23&gt;=Assumptions!$B$11),1,0)</f>
        <v>0</v>
      </c>
      <c r="O23" s="31" t="n">
        <f aca="false">IF(AND(I23&gt;=Assumptions!$B$13,J23&gt;=Assumptions!$B$13),IF(ABS(J23/I23-1)&lt;=Assumptions!$B$12,1,0),0)</f>
        <v>1</v>
      </c>
      <c r="P23" s="31" t="n">
        <f aca="false">IF(Client_Master!M23="Potential Match",1,0)</f>
        <v>0</v>
      </c>
      <c r="Q23" s="27" t="n">
        <f aca="false">SUM(K23:P23)</f>
        <v>1</v>
      </c>
      <c r="R23" s="27" t="str">
        <f aca="false">IF(OR(K23=1,M23=1,N23=1,P23=1,Q23&gt;=2),"ESCALATE",IF(Q23=1,"Analyst Review","No Action"))</f>
        <v>Analyst Review</v>
      </c>
      <c r="S23" s="27" t="str">
        <f aca="false">TRIM(IF(K23=1,"R1 Structuring; ","")&amp;IF(L23=1,"R2 Cash&gt;Profile; ","")&amp;IF(M23=1,"R3 High-Risk Jurisdiction; ","")&amp;IF(N23=1,"R4 PEP Activity; ","")&amp;IF(O23=1,"R5 Pass-through; ","")&amp;IF(P23=1,"R6 Sanctions Hit; ",""))</f>
        <v>R5 Pass-through;</v>
      </c>
    </row>
    <row r="24" customFormat="false" ht="15" hidden="false" customHeight="false" outlineLevel="0" collapsed="false">
      <c r="A24" s="27" t="str">
        <f aca="false">Client_Master!A24</f>
        <v>C023</v>
      </c>
      <c r="B24" s="27" t="str">
        <f aca="false">Client_Master!B24</f>
        <v>Cedar Hill Property Holdings Ltd</v>
      </c>
      <c r="C24" s="27" t="str">
        <f aca="false">Client_Master!H24</f>
        <v>Low</v>
      </c>
      <c r="D24" s="29" t="n">
        <f aca="false">SUMIFS(Transactions!$E$2:$E$114,Transactions!$C$2:$C$114,A24,Transactions!$I$2:$I$114,"Y")</f>
        <v>0</v>
      </c>
      <c r="E24" s="29" t="n">
        <f aca="false">Client_Master!O24*Assumptions!$B$9</f>
        <v>0</v>
      </c>
      <c r="F24" s="27" t="n">
        <f aca="false">COUNTIFS(Transactions!$C$2:$C$114,A24,Transactions!$K$2:$K$114,"Y")</f>
        <v>0</v>
      </c>
      <c r="G24" s="27" t="n">
        <f aca="false">COUNTIFS(CTR_Log!$A$2:$A$21,A24,CTR_Log!$F$2:$F$21,"YES")</f>
        <v>0</v>
      </c>
      <c r="H24" s="27" t="n">
        <f aca="false">COUNTIFS(Transactions!$C$2:$C$114,A24,Transactions!$L$2:$L$114,"&gt;=3")</f>
        <v>0</v>
      </c>
      <c r="I24" s="29" t="n">
        <f aca="false">SUMIFS(Transactions!$E$2:$E$114,Transactions!$C$2:$C$114,A24,Transactions!$D$2:$D$114,"Wire In")</f>
        <v>37100</v>
      </c>
      <c r="J24" s="29" t="n">
        <f aca="false">SUMIFS(Transactions!$E$2:$E$114,Transactions!$C$2:$C$114,A24,Transactions!$D$2:$D$114,"Wire Out")</f>
        <v>78700</v>
      </c>
      <c r="K24" s="27" t="n">
        <f aca="false">IF(F24&gt;=Assumptions!$B$7,1,0)</f>
        <v>0</v>
      </c>
      <c r="L24" s="27" t="n">
        <f aca="false">IF(AND(D24&gt;0,D24&gt;E24*Assumptions!$B$8),1,0)</f>
        <v>0</v>
      </c>
      <c r="M24" s="27" t="n">
        <f aca="false">IF(H24&gt;0,1,0)</f>
        <v>0</v>
      </c>
      <c r="N24" s="27" t="n">
        <f aca="false">IF(AND(Client_Master!N24="Y",I24+J24&gt;=Assumptions!$B$11),1,0)</f>
        <v>0</v>
      </c>
      <c r="O24" s="31" t="n">
        <f aca="false">IF(AND(I24&gt;=Assumptions!$B$13,J24&gt;=Assumptions!$B$13),IF(ABS(J24/I24-1)&lt;=Assumptions!$B$12,1,0),0)</f>
        <v>0</v>
      </c>
      <c r="P24" s="31" t="n">
        <f aca="false">IF(Client_Master!M24="Potential Match",1,0)</f>
        <v>0</v>
      </c>
      <c r="Q24" s="27" t="n">
        <f aca="false">SUM(K24:P24)</f>
        <v>0</v>
      </c>
      <c r="R24" s="27" t="str">
        <f aca="false">IF(OR(K24=1,M24=1,N24=1,P24=1,Q24&gt;=2),"ESCALATE",IF(Q24=1,"Analyst Review","No Action"))</f>
        <v>No Action</v>
      </c>
      <c r="S24" s="27" t="str">
        <f aca="false">TRIM(IF(K24=1,"R1 Structuring; ","")&amp;IF(L24=1,"R2 Cash&gt;Profile; ","")&amp;IF(M24=1,"R3 High-Risk Jurisdiction; ","")&amp;IF(N24=1,"R4 PEP Activity; ","")&amp;IF(O24=1,"R5 Pass-through; ","")&amp;IF(P24=1,"R6 Sanctions Hit; ",""))</f>
        <v/>
      </c>
    </row>
    <row r="25" customFormat="false" ht="15" hidden="false" customHeight="false" outlineLevel="0" collapsed="false">
      <c r="A25" s="27" t="str">
        <f aca="false">Client_Master!A25</f>
        <v>C024</v>
      </c>
      <c r="B25" s="27" t="str">
        <f aca="false">Client_Master!B25</f>
        <v>Sunrise Auto Traders LLC</v>
      </c>
      <c r="C25" s="27" t="str">
        <f aca="false">Client_Master!H25</f>
        <v>Low</v>
      </c>
      <c r="D25" s="29" t="n">
        <f aca="false">SUMIFS(Transactions!$E$2:$E$114,Transactions!$C$2:$C$114,A25,Transactions!$I$2:$I$114,"Y")</f>
        <v>10300</v>
      </c>
      <c r="E25" s="29" t="n">
        <f aca="false">Client_Master!O25*Assumptions!$B$9</f>
        <v>60000</v>
      </c>
      <c r="F25" s="27" t="n">
        <f aca="false">COUNTIFS(Transactions!$C$2:$C$114,A25,Transactions!$K$2:$K$114,"Y")</f>
        <v>0</v>
      </c>
      <c r="G25" s="27" t="n">
        <f aca="false">COUNTIFS(CTR_Log!$A$2:$A$21,A25,CTR_Log!$F$2:$F$21,"YES")</f>
        <v>0</v>
      </c>
      <c r="H25" s="27" t="n">
        <f aca="false">COUNTIFS(Transactions!$C$2:$C$114,A25,Transactions!$L$2:$L$114,"&gt;=3")</f>
        <v>0</v>
      </c>
      <c r="I25" s="29" t="n">
        <f aca="false">SUMIFS(Transactions!$E$2:$E$114,Transactions!$C$2:$C$114,A25,Transactions!$D$2:$D$114,"Wire In")</f>
        <v>0</v>
      </c>
      <c r="J25" s="29" t="n">
        <f aca="false">SUMIFS(Transactions!$E$2:$E$114,Transactions!$C$2:$C$114,A25,Transactions!$D$2:$D$114,"Wire Out")</f>
        <v>0</v>
      </c>
      <c r="K25" s="27" t="n">
        <f aca="false">IF(F25&gt;=Assumptions!$B$7,1,0)</f>
        <v>0</v>
      </c>
      <c r="L25" s="27" t="n">
        <f aca="false">IF(AND(D25&gt;0,D25&gt;E25*Assumptions!$B$8),1,0)</f>
        <v>0</v>
      </c>
      <c r="M25" s="27" t="n">
        <f aca="false">IF(H25&gt;0,1,0)</f>
        <v>0</v>
      </c>
      <c r="N25" s="27" t="n">
        <f aca="false">IF(AND(Client_Master!N25="Y",I25+J25&gt;=Assumptions!$B$11),1,0)</f>
        <v>0</v>
      </c>
      <c r="O25" s="31" t="n">
        <f aca="false">IF(AND(I25&gt;=Assumptions!$B$13,J25&gt;=Assumptions!$B$13),IF(ABS(J25/I25-1)&lt;=Assumptions!$B$12,1,0),0)</f>
        <v>0</v>
      </c>
      <c r="P25" s="31" t="n">
        <f aca="false">IF(Client_Master!M25="Potential Match",1,0)</f>
        <v>0</v>
      </c>
      <c r="Q25" s="27" t="n">
        <f aca="false">SUM(K25:P25)</f>
        <v>0</v>
      </c>
      <c r="R25" s="27" t="str">
        <f aca="false">IF(OR(K25=1,M25=1,N25=1,P25=1,Q25&gt;=2),"ESCALATE",IF(Q25=1,"Analyst Review","No Action"))</f>
        <v>No Action</v>
      </c>
      <c r="S25" s="27" t="str">
        <f aca="false">TRIM(IF(K25=1,"R1 Structuring; ","")&amp;IF(L25=1,"R2 Cash&gt;Profile; ","")&amp;IF(M25=1,"R3 High-Risk Jurisdiction; ","")&amp;IF(N25=1,"R4 PEP Activity; ","")&amp;IF(O25=1,"R5 Pass-through; ","")&amp;IF(P25=1,"R6 Sanctions Hit; ",""))</f>
        <v/>
      </c>
    </row>
    <row r="26" customFormat="false" ht="15" hidden="false" customHeight="false" outlineLevel="0" collapsed="false">
      <c r="A26" s="27" t="str">
        <f aca="false">Client_Master!A26</f>
        <v>C025</v>
      </c>
      <c r="B26" s="27" t="str">
        <f aca="false">Client_Master!B26</f>
        <v>Crescent Remit Services LLP</v>
      </c>
      <c r="C26" s="27" t="str">
        <f aca="false">Client_Master!H26</f>
        <v>High</v>
      </c>
      <c r="D26" s="29" t="n">
        <f aca="false">SUMIFS(Transactions!$E$2:$E$114,Transactions!$C$2:$C$114,A26,Transactions!$I$2:$I$114,"Y")</f>
        <v>0</v>
      </c>
      <c r="E26" s="29" t="n">
        <f aca="false">Client_Master!O26*Assumptions!$B$9</f>
        <v>0</v>
      </c>
      <c r="F26" s="27" t="n">
        <f aca="false">COUNTIFS(Transactions!$C$2:$C$114,A26,Transactions!$K$2:$K$114,"Y")</f>
        <v>0</v>
      </c>
      <c r="G26" s="27" t="n">
        <f aca="false">COUNTIFS(CTR_Log!$A$2:$A$21,A26,CTR_Log!$F$2:$F$21,"YES")</f>
        <v>0</v>
      </c>
      <c r="H26" s="27" t="n">
        <f aca="false">COUNTIFS(Transactions!$C$2:$C$114,A26,Transactions!$L$2:$L$114,"&gt;=3")</f>
        <v>0</v>
      </c>
      <c r="I26" s="29" t="n">
        <f aca="false">SUMIFS(Transactions!$E$2:$E$114,Transactions!$C$2:$C$114,A26,Transactions!$D$2:$D$114,"Wire In")</f>
        <v>13000</v>
      </c>
      <c r="J26" s="29" t="n">
        <f aca="false">SUMIFS(Transactions!$E$2:$E$114,Transactions!$C$2:$C$114,A26,Transactions!$D$2:$D$114,"Wire Out")</f>
        <v>31800</v>
      </c>
      <c r="K26" s="27" t="n">
        <f aca="false">IF(F26&gt;=Assumptions!$B$7,1,0)</f>
        <v>0</v>
      </c>
      <c r="L26" s="27" t="n">
        <f aca="false">IF(AND(D26&gt;0,D26&gt;E26*Assumptions!$B$8),1,0)</f>
        <v>0</v>
      </c>
      <c r="M26" s="27" t="n">
        <f aca="false">IF(H26&gt;0,1,0)</f>
        <v>0</v>
      </c>
      <c r="N26" s="27" t="n">
        <f aca="false">IF(AND(Client_Master!N26="Y",I26+J26&gt;=Assumptions!$B$11),1,0)</f>
        <v>0</v>
      </c>
      <c r="O26" s="31" t="n">
        <f aca="false">IF(AND(I26&gt;=Assumptions!$B$13,J26&gt;=Assumptions!$B$13),IF(ABS(J26/I26-1)&lt;=Assumptions!$B$12,1,0),0)</f>
        <v>0</v>
      </c>
      <c r="P26" s="31" t="n">
        <f aca="false">IF(Client_Master!M26="Potential Match",1,0)</f>
        <v>0</v>
      </c>
      <c r="Q26" s="27" t="n">
        <f aca="false">SUM(K26:P26)</f>
        <v>0</v>
      </c>
      <c r="R26" s="27" t="str">
        <f aca="false">IF(OR(K26=1,M26=1,N26=1,P26=1,Q26&gt;=2),"ESCALATE",IF(Q26=1,"Analyst Review","No Action"))</f>
        <v>No Action</v>
      </c>
      <c r="S26" s="27" t="str">
        <f aca="false">TRIM(IF(K26=1,"R1 Structuring; ","")&amp;IF(L26=1,"R2 Cash&gt;Profile; ","")&amp;IF(M26=1,"R3 High-Risk Jurisdiction; ","")&amp;IF(N26=1,"R4 PEP Activity; ","")&amp;IF(O26=1,"R5 Pass-through; ","")&amp;IF(P26=1,"R6 Sanctions Hit; ",""))</f>
        <v/>
      </c>
    </row>
    <row r="27" customFormat="false" ht="15" hidden="false" customHeight="false" outlineLevel="0" collapsed="false">
      <c r="A27" s="27" t="str">
        <f aca="false">Client_Master!A27</f>
        <v>C026</v>
      </c>
      <c r="B27" s="27" t="str">
        <f aca="false">Client_Master!B27</f>
        <v>Palm Bay Casino Resorts</v>
      </c>
      <c r="C27" s="27" t="str">
        <f aca="false">Client_Master!H27</f>
        <v>Medium</v>
      </c>
      <c r="D27" s="29" t="n">
        <f aca="false">SUMIFS(Transactions!$E$2:$E$114,Transactions!$C$2:$C$114,A27,Transactions!$I$2:$I$114,"Y")</f>
        <v>0</v>
      </c>
      <c r="E27" s="29" t="n">
        <f aca="false">Client_Master!O27*Assumptions!$B$9</f>
        <v>0</v>
      </c>
      <c r="F27" s="27" t="n">
        <f aca="false">COUNTIFS(Transactions!$C$2:$C$114,A27,Transactions!$K$2:$K$114,"Y")</f>
        <v>0</v>
      </c>
      <c r="G27" s="27" t="n">
        <f aca="false">COUNTIFS(CTR_Log!$A$2:$A$21,A27,CTR_Log!$F$2:$F$21,"YES")</f>
        <v>0</v>
      </c>
      <c r="H27" s="27" t="n">
        <f aca="false">COUNTIFS(Transactions!$C$2:$C$114,A27,Transactions!$L$2:$L$114,"&gt;=3")</f>
        <v>0</v>
      </c>
      <c r="I27" s="29" t="n">
        <f aca="false">SUMIFS(Transactions!$E$2:$E$114,Transactions!$C$2:$C$114,A27,Transactions!$D$2:$D$114,"Wire In")</f>
        <v>0</v>
      </c>
      <c r="J27" s="29" t="n">
        <f aca="false">SUMIFS(Transactions!$E$2:$E$114,Transactions!$C$2:$C$114,A27,Transactions!$D$2:$D$114,"Wire Out")</f>
        <v>190900</v>
      </c>
      <c r="K27" s="27" t="n">
        <f aca="false">IF(F27&gt;=Assumptions!$B$7,1,0)</f>
        <v>0</v>
      </c>
      <c r="L27" s="27" t="n">
        <f aca="false">IF(AND(D27&gt;0,D27&gt;E27*Assumptions!$B$8),1,0)</f>
        <v>0</v>
      </c>
      <c r="M27" s="27" t="n">
        <f aca="false">IF(H27&gt;0,1,0)</f>
        <v>0</v>
      </c>
      <c r="N27" s="27" t="n">
        <f aca="false">IF(AND(Client_Master!N27="Y",I27+J27&gt;=Assumptions!$B$11),1,0)</f>
        <v>0</v>
      </c>
      <c r="O27" s="31" t="n">
        <f aca="false">IF(AND(I27&gt;=Assumptions!$B$13,J27&gt;=Assumptions!$B$13),IF(ABS(J27/I27-1)&lt;=Assumptions!$B$12,1,0),0)</f>
        <v>0</v>
      </c>
      <c r="P27" s="31" t="n">
        <f aca="false">IF(Client_Master!M27="Potential Match",1,0)</f>
        <v>0</v>
      </c>
      <c r="Q27" s="27" t="n">
        <f aca="false">SUM(K27:P27)</f>
        <v>0</v>
      </c>
      <c r="R27" s="27" t="str">
        <f aca="false">IF(OR(K27=1,M27=1,N27=1,P27=1,Q27&gt;=2),"ESCALATE",IF(Q27=1,"Analyst Review","No Action"))</f>
        <v>No Action</v>
      </c>
      <c r="S27" s="27" t="str">
        <f aca="false">TRIM(IF(K27=1,"R1 Structuring; ","")&amp;IF(L27=1,"R2 Cash&gt;Profile; ","")&amp;IF(M27=1,"R3 High-Risk Jurisdiction; ","")&amp;IF(N27=1,"R4 PEP Activity; ","")&amp;IF(O27=1,"R5 Pass-through; ","")&amp;IF(P27=1,"R6 Sanctions Hit; ",""))</f>
        <v/>
      </c>
    </row>
    <row r="28" customFormat="false" ht="15" hidden="false" customHeight="false" outlineLevel="0" collapsed="false">
      <c r="A28" s="27" t="str">
        <f aca="false">Client_Master!A28</f>
        <v>C027</v>
      </c>
      <c r="B28" s="27" t="str">
        <f aca="false">Client_Master!B28</f>
        <v>Irrawaddy Trade Links Ltd</v>
      </c>
      <c r="C28" s="27" t="str">
        <f aca="false">Client_Master!H28</f>
        <v>Low</v>
      </c>
      <c r="D28" s="29" t="n">
        <f aca="false">SUMIFS(Transactions!$E$2:$E$114,Transactions!$C$2:$C$114,A28,Transactions!$I$2:$I$114,"Y")</f>
        <v>0</v>
      </c>
      <c r="E28" s="29" t="n">
        <f aca="false">Client_Master!O28*Assumptions!$B$9</f>
        <v>0</v>
      </c>
      <c r="F28" s="27" t="n">
        <f aca="false">COUNTIFS(Transactions!$C$2:$C$114,A28,Transactions!$K$2:$K$114,"Y")</f>
        <v>0</v>
      </c>
      <c r="G28" s="27" t="n">
        <f aca="false">COUNTIFS(CTR_Log!$A$2:$A$21,A28,CTR_Log!$F$2:$F$21,"YES")</f>
        <v>0</v>
      </c>
      <c r="H28" s="27" t="n">
        <f aca="false">COUNTIFS(Transactions!$C$2:$C$114,A28,Transactions!$L$2:$L$114,"&gt;=3")</f>
        <v>2</v>
      </c>
      <c r="I28" s="29" t="n">
        <f aca="false">SUMIFS(Transactions!$E$2:$E$114,Transactions!$C$2:$C$114,A28,Transactions!$D$2:$D$114,"Wire In")</f>
        <v>120000</v>
      </c>
      <c r="J28" s="29" t="n">
        <f aca="false">SUMIFS(Transactions!$E$2:$E$114,Transactions!$C$2:$C$114,A28,Transactions!$D$2:$D$114,"Wire Out")</f>
        <v>105000</v>
      </c>
      <c r="K28" s="27" t="n">
        <f aca="false">IF(F28&gt;=Assumptions!$B$7,1,0)</f>
        <v>0</v>
      </c>
      <c r="L28" s="27" t="n">
        <f aca="false">IF(AND(D28&gt;0,D28&gt;E28*Assumptions!$B$8),1,0)</f>
        <v>0</v>
      </c>
      <c r="M28" s="27" t="n">
        <f aca="false">IF(H28&gt;0,1,0)</f>
        <v>1</v>
      </c>
      <c r="N28" s="27" t="n">
        <f aca="false">IF(AND(Client_Master!N28="Y",I28+J28&gt;=Assumptions!$B$11),1,0)</f>
        <v>0</v>
      </c>
      <c r="O28" s="31" t="n">
        <f aca="false">IF(AND(I28&gt;=Assumptions!$B$13,J28&gt;=Assumptions!$B$13),IF(ABS(J28/I28-1)&lt;=Assumptions!$B$12,1,0),0)</f>
        <v>0</v>
      </c>
      <c r="P28" s="31" t="n">
        <f aca="false">IF(Client_Master!M28="Potential Match",1,0)</f>
        <v>0</v>
      </c>
      <c r="Q28" s="27" t="n">
        <f aca="false">SUM(K28:P28)</f>
        <v>1</v>
      </c>
      <c r="R28" s="27" t="str">
        <f aca="false">IF(OR(K28=1,M28=1,N28=1,P28=1,Q28&gt;=2),"ESCALATE",IF(Q28=1,"Analyst Review","No Action"))</f>
        <v>ESCALATE</v>
      </c>
      <c r="S28" s="27" t="str">
        <f aca="false">TRIM(IF(K28=1,"R1 Structuring; ","")&amp;IF(L28=1,"R2 Cash&gt;Profile; ","")&amp;IF(M28=1,"R3 High-Risk Jurisdiction; ","")&amp;IF(N28=1,"R4 PEP Activity; ","")&amp;IF(O28=1,"R5 Pass-through; ","")&amp;IF(P28=1,"R6 Sanctions Hit; ",""))</f>
        <v>R3 High-Risk Jurisdiction;</v>
      </c>
    </row>
    <row r="29" customFormat="false" ht="15" hidden="false" customHeight="false" outlineLevel="0" collapsed="false">
      <c r="A29" s="27" t="str">
        <f aca="false">Client_Master!A29</f>
        <v>C028</v>
      </c>
      <c r="B29" s="27" t="str">
        <f aca="false">Client_Master!B29</f>
        <v>Zurich Wealth Advisory AG</v>
      </c>
      <c r="C29" s="27" t="str">
        <f aca="false">Client_Master!H29</f>
        <v>Low</v>
      </c>
      <c r="D29" s="29" t="n">
        <f aca="false">SUMIFS(Transactions!$E$2:$E$114,Transactions!$C$2:$C$114,A29,Transactions!$I$2:$I$114,"Y")</f>
        <v>0</v>
      </c>
      <c r="E29" s="29" t="n">
        <f aca="false">Client_Master!O29*Assumptions!$B$9</f>
        <v>0</v>
      </c>
      <c r="F29" s="27" t="n">
        <f aca="false">COUNTIFS(Transactions!$C$2:$C$114,A29,Transactions!$K$2:$K$114,"Y")</f>
        <v>0</v>
      </c>
      <c r="G29" s="27" t="n">
        <f aca="false">COUNTIFS(CTR_Log!$A$2:$A$21,A29,CTR_Log!$F$2:$F$21,"YES")</f>
        <v>0</v>
      </c>
      <c r="H29" s="27" t="n">
        <f aca="false">COUNTIFS(Transactions!$C$2:$C$114,A29,Transactions!$L$2:$L$114,"&gt;=3")</f>
        <v>0</v>
      </c>
      <c r="I29" s="29" t="n">
        <f aca="false">SUMIFS(Transactions!$E$2:$E$114,Transactions!$C$2:$C$114,A29,Transactions!$D$2:$D$114,"Wire In")</f>
        <v>57600</v>
      </c>
      <c r="J29" s="29" t="n">
        <f aca="false">SUMIFS(Transactions!$E$2:$E$114,Transactions!$C$2:$C$114,A29,Transactions!$D$2:$D$114,"Wire Out")</f>
        <v>120700</v>
      </c>
      <c r="K29" s="27" t="n">
        <f aca="false">IF(F29&gt;=Assumptions!$B$7,1,0)</f>
        <v>0</v>
      </c>
      <c r="L29" s="27" t="n">
        <f aca="false">IF(AND(D29&gt;0,D29&gt;E29*Assumptions!$B$8),1,0)</f>
        <v>0</v>
      </c>
      <c r="M29" s="27" t="n">
        <f aca="false">IF(H29&gt;0,1,0)</f>
        <v>0</v>
      </c>
      <c r="N29" s="27" t="n">
        <f aca="false">IF(AND(Client_Master!N29="Y",I29+J29&gt;=Assumptions!$B$11),1,0)</f>
        <v>0</v>
      </c>
      <c r="O29" s="31" t="n">
        <f aca="false">IF(AND(I29&gt;=Assumptions!$B$13,J29&gt;=Assumptions!$B$13),IF(ABS(J29/I29-1)&lt;=Assumptions!$B$12,1,0),0)</f>
        <v>0</v>
      </c>
      <c r="P29" s="31" t="n">
        <f aca="false">IF(Client_Master!M29="Potential Match",1,0)</f>
        <v>0</v>
      </c>
      <c r="Q29" s="27" t="n">
        <f aca="false">SUM(K29:P29)</f>
        <v>0</v>
      </c>
      <c r="R29" s="27" t="str">
        <f aca="false">IF(OR(K29=1,M29=1,N29=1,P29=1,Q29&gt;=2),"ESCALATE",IF(Q29=1,"Analyst Review","No Action"))</f>
        <v>No Action</v>
      </c>
      <c r="S29" s="27" t="str">
        <f aca="false">TRIM(IF(K29=1,"R1 Structuring; ","")&amp;IF(L29=1,"R2 Cash&gt;Profile; ","")&amp;IF(M29=1,"R3 High-Risk Jurisdiction; ","")&amp;IF(N29=1,"R4 PEP Activity; ","")&amp;IF(O29=1,"R5 Pass-through; ","")&amp;IF(P29=1,"R6 Sanctions Hit; ",""))</f>
        <v/>
      </c>
    </row>
    <row r="30" customFormat="false" ht="15" hidden="false" customHeight="false" outlineLevel="0" collapsed="false">
      <c r="A30" s="27" t="str">
        <f aca="false">Client_Master!A30</f>
        <v>C029</v>
      </c>
      <c r="B30" s="27" t="str">
        <f aca="false">Client_Master!B30</f>
        <v>The Halvorsen Family Trust</v>
      </c>
      <c r="C30" s="27" t="str">
        <f aca="false">Client_Master!H30</f>
        <v>High</v>
      </c>
      <c r="D30" s="29" t="n">
        <f aca="false">SUMIFS(Transactions!$E$2:$E$114,Transactions!$C$2:$C$114,A30,Transactions!$I$2:$I$114,"Y")</f>
        <v>0</v>
      </c>
      <c r="E30" s="29" t="n">
        <f aca="false">Client_Master!O30*Assumptions!$B$9</f>
        <v>0</v>
      </c>
      <c r="F30" s="27" t="n">
        <f aca="false">COUNTIFS(Transactions!$C$2:$C$114,A30,Transactions!$K$2:$K$114,"Y")</f>
        <v>0</v>
      </c>
      <c r="G30" s="27" t="n">
        <f aca="false">COUNTIFS(CTR_Log!$A$2:$A$21,A30,CTR_Log!$F$2:$F$21,"YES")</f>
        <v>0</v>
      </c>
      <c r="H30" s="27" t="n">
        <f aca="false">COUNTIFS(Transactions!$C$2:$C$114,A30,Transactions!$L$2:$L$114,"&gt;=3")</f>
        <v>0</v>
      </c>
      <c r="I30" s="29" t="n">
        <f aca="false">SUMIFS(Transactions!$E$2:$E$114,Transactions!$C$2:$C$114,A30,Transactions!$D$2:$D$114,"Wire In")</f>
        <v>30000</v>
      </c>
      <c r="J30" s="29" t="n">
        <f aca="false">SUMIFS(Transactions!$E$2:$E$114,Transactions!$C$2:$C$114,A30,Transactions!$D$2:$D$114,"Wire Out")</f>
        <v>0</v>
      </c>
      <c r="K30" s="27" t="n">
        <f aca="false">IF(F30&gt;=Assumptions!$B$7,1,0)</f>
        <v>0</v>
      </c>
      <c r="L30" s="27" t="n">
        <f aca="false">IF(AND(D30&gt;0,D30&gt;E30*Assumptions!$B$8),1,0)</f>
        <v>0</v>
      </c>
      <c r="M30" s="27" t="n">
        <f aca="false">IF(H30&gt;0,1,0)</f>
        <v>0</v>
      </c>
      <c r="N30" s="27" t="n">
        <f aca="false">IF(AND(Client_Master!N30="Y",I30+J30&gt;=Assumptions!$B$11),1,0)</f>
        <v>0</v>
      </c>
      <c r="O30" s="31" t="n">
        <f aca="false">IF(AND(I30&gt;=Assumptions!$B$13,J30&gt;=Assumptions!$B$13),IF(ABS(J30/I30-1)&lt;=Assumptions!$B$12,1,0),0)</f>
        <v>0</v>
      </c>
      <c r="P30" s="31" t="n">
        <f aca="false">IF(Client_Master!M30="Potential Match",1,0)</f>
        <v>0</v>
      </c>
      <c r="Q30" s="27" t="n">
        <f aca="false">SUM(K30:P30)</f>
        <v>0</v>
      </c>
      <c r="R30" s="27" t="str">
        <f aca="false">IF(OR(K30=1,M30=1,N30=1,P30=1,Q30&gt;=2),"ESCALATE",IF(Q30=1,"Analyst Review","No Action"))</f>
        <v>No Action</v>
      </c>
      <c r="S30" s="27" t="str">
        <f aca="false">TRIM(IF(K30=1,"R1 Structuring; ","")&amp;IF(L30=1,"R2 Cash&gt;Profile; ","")&amp;IF(M30=1,"R3 High-Risk Jurisdiction; ","")&amp;IF(N30=1,"R4 PEP Activity; ","")&amp;IF(O30=1,"R5 Pass-through; ","")&amp;IF(P30=1,"R6 Sanctions Hit; ",""))</f>
        <v/>
      </c>
    </row>
    <row r="31" customFormat="false" ht="15" hidden="false" customHeight="false" outlineLevel="0" collapsed="false">
      <c r="A31" s="27" t="str">
        <f aca="false">Client_Master!A31</f>
        <v>C030</v>
      </c>
      <c r="B31" s="27" t="str">
        <f aca="false">Client_Master!B31</f>
        <v>Delta Cloud Systems Pvt Ltd</v>
      </c>
      <c r="C31" s="27" t="str">
        <f aca="false">Client_Master!H31</f>
        <v>Low</v>
      </c>
      <c r="D31" s="29" t="n">
        <f aca="false">SUMIFS(Transactions!$E$2:$E$114,Transactions!$C$2:$C$114,A31,Transactions!$I$2:$I$114,"Y")</f>
        <v>0</v>
      </c>
      <c r="E31" s="29" t="n">
        <f aca="false">Client_Master!O31*Assumptions!$B$9</f>
        <v>0</v>
      </c>
      <c r="F31" s="27" t="n">
        <f aca="false">COUNTIFS(Transactions!$C$2:$C$114,A31,Transactions!$K$2:$K$114,"Y")</f>
        <v>0</v>
      </c>
      <c r="G31" s="27" t="n">
        <f aca="false">COUNTIFS(CTR_Log!$A$2:$A$21,A31,CTR_Log!$F$2:$F$21,"YES")</f>
        <v>0</v>
      </c>
      <c r="H31" s="27" t="n">
        <f aca="false">COUNTIFS(Transactions!$C$2:$C$114,A31,Transactions!$L$2:$L$114,"&gt;=3")</f>
        <v>0</v>
      </c>
      <c r="I31" s="29" t="n">
        <f aca="false">SUMIFS(Transactions!$E$2:$E$114,Transactions!$C$2:$C$114,A31,Transactions!$D$2:$D$114,"Wire In")</f>
        <v>0</v>
      </c>
      <c r="J31" s="29" t="n">
        <f aca="false">SUMIFS(Transactions!$E$2:$E$114,Transactions!$C$2:$C$114,A31,Transactions!$D$2:$D$114,"Wire Out")</f>
        <v>109800</v>
      </c>
      <c r="K31" s="27" t="n">
        <f aca="false">IF(F31&gt;=Assumptions!$B$7,1,0)</f>
        <v>0</v>
      </c>
      <c r="L31" s="27" t="n">
        <f aca="false">IF(AND(D31&gt;0,D31&gt;E31*Assumptions!$B$8),1,0)</f>
        <v>0</v>
      </c>
      <c r="M31" s="27" t="n">
        <f aca="false">IF(H31&gt;0,1,0)</f>
        <v>0</v>
      </c>
      <c r="N31" s="27" t="n">
        <f aca="false">IF(AND(Client_Master!N31="Y",I31+J31&gt;=Assumptions!$B$11),1,0)</f>
        <v>0</v>
      </c>
      <c r="O31" s="31" t="n">
        <f aca="false">IF(AND(I31&gt;=Assumptions!$B$13,J31&gt;=Assumptions!$B$13),IF(ABS(J31/I31-1)&lt;=Assumptions!$B$12,1,0),0)</f>
        <v>0</v>
      </c>
      <c r="P31" s="31" t="n">
        <f aca="false">IF(Client_Master!M31="Potential Match",1,0)</f>
        <v>0</v>
      </c>
      <c r="Q31" s="27" t="n">
        <f aca="false">SUM(K31:P31)</f>
        <v>0</v>
      </c>
      <c r="R31" s="27" t="str">
        <f aca="false">IF(OR(K31=1,M31=1,N31=1,P31=1,Q31&gt;=2),"ESCALATE",IF(Q31=1,"Analyst Review","No Action"))</f>
        <v>No Action</v>
      </c>
      <c r="S31" s="27" t="str">
        <f aca="false">TRIM(IF(K31=1,"R1 Structuring; ","")&amp;IF(L31=1,"R2 Cash&gt;Profile; ","")&amp;IF(M31=1,"R3 High-Risk Jurisdiction; ","")&amp;IF(N31=1,"R4 PEP Activity; ","")&amp;IF(O31=1,"R5 Pass-through; ","")&amp;IF(P31=1,"R6 Sanctions Hit; ",""))</f>
        <v/>
      </c>
    </row>
    <row r="32" customFormat="false" ht="15" hidden="false" customHeight="false" outlineLevel="0" collapsed="false">
      <c r="A32" s="27" t="str">
        <f aca="false">Client_Master!A32</f>
        <v>C031</v>
      </c>
      <c r="B32" s="27" t="str">
        <f aca="false">Client_Master!B32</f>
        <v>Meridian Textile Exports Pvt Ltd</v>
      </c>
      <c r="C32" s="27" t="str">
        <f aca="false">Client_Master!H32</f>
        <v>Low</v>
      </c>
      <c r="D32" s="29" t="n">
        <f aca="false">SUMIFS(Transactions!$E$2:$E$114,Transactions!$C$2:$C$114,A32,Transactions!$I$2:$I$114,"Y")</f>
        <v>0</v>
      </c>
      <c r="E32" s="29" t="n">
        <f aca="false">Client_Master!O32*Assumptions!$B$9</f>
        <v>0</v>
      </c>
      <c r="F32" s="27" t="n">
        <f aca="false">COUNTIFS(Transactions!$C$2:$C$114,A32,Transactions!$K$2:$K$114,"Y")</f>
        <v>0</v>
      </c>
      <c r="G32" s="27" t="n">
        <f aca="false">COUNTIFS(CTR_Log!$A$2:$A$21,A32,CTR_Log!$F$2:$F$21,"YES")</f>
        <v>0</v>
      </c>
      <c r="H32" s="27" t="n">
        <f aca="false">COUNTIFS(Transactions!$C$2:$C$114,A32,Transactions!$L$2:$L$114,"&gt;=3")</f>
        <v>0</v>
      </c>
      <c r="I32" s="29" t="n">
        <f aca="false">SUMIFS(Transactions!$E$2:$E$114,Transactions!$C$2:$C$114,A32,Transactions!$D$2:$D$114,"Wire In")</f>
        <v>20600</v>
      </c>
      <c r="J32" s="29" t="n">
        <f aca="false">SUMIFS(Transactions!$E$2:$E$114,Transactions!$C$2:$C$114,A32,Transactions!$D$2:$D$114,"Wire Out")</f>
        <v>105900</v>
      </c>
      <c r="K32" s="27" t="n">
        <f aca="false">IF(F32&gt;=Assumptions!$B$7,1,0)</f>
        <v>0</v>
      </c>
      <c r="L32" s="27" t="n">
        <f aca="false">IF(AND(D32&gt;0,D32&gt;E32*Assumptions!$B$8),1,0)</f>
        <v>0</v>
      </c>
      <c r="M32" s="27" t="n">
        <f aca="false">IF(H32&gt;0,1,0)</f>
        <v>0</v>
      </c>
      <c r="N32" s="27" t="n">
        <f aca="false">IF(AND(Client_Master!N32="Y",I32+J32&gt;=Assumptions!$B$11),1,0)</f>
        <v>0</v>
      </c>
      <c r="O32" s="31" t="n">
        <f aca="false">IF(AND(I32&gt;=Assumptions!$B$13,J32&gt;=Assumptions!$B$13),IF(ABS(J32/I32-1)&lt;=Assumptions!$B$12,1,0),0)</f>
        <v>0</v>
      </c>
      <c r="P32" s="31" t="n">
        <f aca="false">IF(Client_Master!M32="Potential Match",1,0)</f>
        <v>0</v>
      </c>
      <c r="Q32" s="27" t="n">
        <f aca="false">SUM(K32:P32)</f>
        <v>0</v>
      </c>
      <c r="R32" s="27" t="str">
        <f aca="false">IF(OR(K32=1,M32=1,N32=1,P32=1,Q32&gt;=2),"ESCALATE",IF(Q32=1,"Analyst Review","No Action"))</f>
        <v>No Action</v>
      </c>
      <c r="S32" s="27" t="str">
        <f aca="false">TRIM(IF(K32=1,"R1 Structuring; ","")&amp;IF(L32=1,"R2 Cash&gt;Profile; ","")&amp;IF(M32=1,"R3 High-Risk Jurisdiction; ","")&amp;IF(N32=1,"R4 PEP Activity; ","")&amp;IF(O32=1,"R5 Pass-through; ","")&amp;IF(P32=1,"R6 Sanctions Hit; ",""))</f>
        <v/>
      </c>
    </row>
    <row r="33" customFormat="false" ht="15" hidden="false" customHeight="false" outlineLevel="0" collapsed="false">
      <c r="A33" s="27" t="str">
        <f aca="false">Client_Master!A33</f>
        <v>C032</v>
      </c>
      <c r="B33" s="27" t="str">
        <f aca="false">Client_Master!B33</f>
        <v>Anatolia Steel Works AS</v>
      </c>
      <c r="C33" s="27" t="str">
        <f aca="false">Client_Master!H33</f>
        <v>Low</v>
      </c>
      <c r="D33" s="29" t="n">
        <f aca="false">SUMIFS(Transactions!$E$2:$E$114,Transactions!$C$2:$C$114,A33,Transactions!$I$2:$I$114,"Y")</f>
        <v>0</v>
      </c>
      <c r="E33" s="29" t="n">
        <f aca="false">Client_Master!O33*Assumptions!$B$9</f>
        <v>0</v>
      </c>
      <c r="F33" s="27" t="n">
        <f aca="false">COUNTIFS(Transactions!$C$2:$C$114,A33,Transactions!$K$2:$K$114,"Y")</f>
        <v>0</v>
      </c>
      <c r="G33" s="27" t="n">
        <f aca="false">COUNTIFS(CTR_Log!$A$2:$A$21,A33,CTR_Log!$F$2:$F$21,"YES")</f>
        <v>0</v>
      </c>
      <c r="H33" s="27" t="n">
        <f aca="false">COUNTIFS(Transactions!$C$2:$C$114,A33,Transactions!$L$2:$L$114,"&gt;=3")</f>
        <v>0</v>
      </c>
      <c r="I33" s="29" t="n">
        <f aca="false">SUMIFS(Transactions!$E$2:$E$114,Transactions!$C$2:$C$114,A33,Transactions!$D$2:$D$114,"Wire In")</f>
        <v>28500</v>
      </c>
      <c r="J33" s="29" t="n">
        <f aca="false">SUMIFS(Transactions!$E$2:$E$114,Transactions!$C$2:$C$114,A33,Transactions!$D$2:$D$114,"Wire Out")</f>
        <v>86500</v>
      </c>
      <c r="K33" s="27" t="n">
        <f aca="false">IF(F33&gt;=Assumptions!$B$7,1,0)</f>
        <v>0</v>
      </c>
      <c r="L33" s="27" t="n">
        <f aca="false">IF(AND(D33&gt;0,D33&gt;E33*Assumptions!$B$8),1,0)</f>
        <v>0</v>
      </c>
      <c r="M33" s="27" t="n">
        <f aca="false">IF(H33&gt;0,1,0)</f>
        <v>0</v>
      </c>
      <c r="N33" s="27" t="n">
        <f aca="false">IF(AND(Client_Master!N33="Y",I33+J33&gt;=Assumptions!$B$11),1,0)</f>
        <v>0</v>
      </c>
      <c r="O33" s="31" t="n">
        <f aca="false">IF(AND(I33&gt;=Assumptions!$B$13,J33&gt;=Assumptions!$B$13),IF(ABS(J33/I33-1)&lt;=Assumptions!$B$12,1,0),0)</f>
        <v>0</v>
      </c>
      <c r="P33" s="31" t="n">
        <f aca="false">IF(Client_Master!M33="Potential Match",1,0)</f>
        <v>0</v>
      </c>
      <c r="Q33" s="27" t="n">
        <f aca="false">SUM(K33:P33)</f>
        <v>0</v>
      </c>
      <c r="R33" s="27" t="str">
        <f aca="false">IF(OR(K33=1,M33=1,N33=1,P33=1,Q33&gt;=2),"ESCALATE",IF(Q33=1,"Analyst Review","No Action"))</f>
        <v>No Action</v>
      </c>
      <c r="S33" s="27" t="str">
        <f aca="false">TRIM(IF(K33=1,"R1 Structuring; ","")&amp;IF(L33=1,"R2 Cash&gt;Profile; ","")&amp;IF(M33=1,"R3 High-Risk Jurisdiction; ","")&amp;IF(N33=1,"R4 PEP Activity; ","")&amp;IF(O33=1,"R5 Pass-through; ","")&amp;IF(P33=1,"R6 Sanctions Hit; ",""))</f>
        <v/>
      </c>
    </row>
    <row r="34" customFormat="false" ht="15" hidden="false" customHeight="false" outlineLevel="0" collapsed="false">
      <c r="A34" s="27" t="str">
        <f aca="false">Client_Master!A34</f>
        <v>C033</v>
      </c>
      <c r="B34" s="27" t="str">
        <f aca="false">Client_Master!B34</f>
        <v>Lakeview Medical Supplies Inc</v>
      </c>
      <c r="C34" s="27" t="str">
        <f aca="false">Client_Master!H34</f>
        <v>Low</v>
      </c>
      <c r="D34" s="29" t="n">
        <f aca="false">SUMIFS(Transactions!$E$2:$E$114,Transactions!$C$2:$C$114,A34,Transactions!$I$2:$I$114,"Y")</f>
        <v>0</v>
      </c>
      <c r="E34" s="29" t="n">
        <f aca="false">Client_Master!O34*Assumptions!$B$9</f>
        <v>0</v>
      </c>
      <c r="F34" s="27" t="n">
        <f aca="false">COUNTIFS(Transactions!$C$2:$C$114,A34,Transactions!$K$2:$K$114,"Y")</f>
        <v>0</v>
      </c>
      <c r="G34" s="27" t="n">
        <f aca="false">COUNTIFS(CTR_Log!$A$2:$A$21,A34,CTR_Log!$F$2:$F$21,"YES")</f>
        <v>0</v>
      </c>
      <c r="H34" s="27" t="n">
        <f aca="false">COUNTIFS(Transactions!$C$2:$C$114,A34,Transactions!$L$2:$L$114,"&gt;=3")</f>
        <v>0</v>
      </c>
      <c r="I34" s="29" t="n">
        <f aca="false">SUMIFS(Transactions!$E$2:$E$114,Transactions!$C$2:$C$114,A34,Transactions!$D$2:$D$114,"Wire In")</f>
        <v>137300</v>
      </c>
      <c r="J34" s="29" t="n">
        <f aca="false">SUMIFS(Transactions!$E$2:$E$114,Transactions!$C$2:$C$114,A34,Transactions!$D$2:$D$114,"Wire Out")</f>
        <v>44000</v>
      </c>
      <c r="K34" s="27" t="n">
        <f aca="false">IF(F34&gt;=Assumptions!$B$7,1,0)</f>
        <v>0</v>
      </c>
      <c r="L34" s="27" t="n">
        <f aca="false">IF(AND(D34&gt;0,D34&gt;E34*Assumptions!$B$8),1,0)</f>
        <v>0</v>
      </c>
      <c r="M34" s="27" t="n">
        <f aca="false">IF(H34&gt;0,1,0)</f>
        <v>0</v>
      </c>
      <c r="N34" s="27" t="n">
        <f aca="false">IF(AND(Client_Master!N34="Y",I34+J34&gt;=Assumptions!$B$11),1,0)</f>
        <v>0</v>
      </c>
      <c r="O34" s="31" t="n">
        <f aca="false">IF(AND(I34&gt;=Assumptions!$B$13,J34&gt;=Assumptions!$B$13),IF(ABS(J34/I34-1)&lt;=Assumptions!$B$12,1,0),0)</f>
        <v>0</v>
      </c>
      <c r="P34" s="31" t="n">
        <f aca="false">IF(Client_Master!M34="Potential Match",1,0)</f>
        <v>0</v>
      </c>
      <c r="Q34" s="27" t="n">
        <f aca="false">SUM(K34:P34)</f>
        <v>0</v>
      </c>
      <c r="R34" s="27" t="str">
        <f aca="false">IF(OR(K34=1,M34=1,N34=1,P34=1,Q34&gt;=2),"ESCALATE",IF(Q34=1,"Analyst Review","No Action"))</f>
        <v>No Action</v>
      </c>
      <c r="S34" s="27" t="str">
        <f aca="false">TRIM(IF(K34=1,"R1 Structuring; ","")&amp;IF(L34=1,"R2 Cash&gt;Profile; ","")&amp;IF(M34=1,"R3 High-Risk Jurisdiction; ","")&amp;IF(N34=1,"R4 PEP Activity; ","")&amp;IF(O34=1,"R5 Pass-through; ","")&amp;IF(P34=1,"R6 Sanctions Hit; ",""))</f>
        <v/>
      </c>
    </row>
    <row r="35" customFormat="false" ht="15" hidden="false" customHeight="false" outlineLevel="0" collapsed="false">
      <c r="A35" s="27" t="str">
        <f aca="false">Client_Master!A35</f>
        <v>C034</v>
      </c>
      <c r="B35" s="27" t="str">
        <f aca="false">Client_Master!B35</f>
        <v>Skyline Hospitality Group Ltd</v>
      </c>
      <c r="C35" s="27" t="str">
        <f aca="false">Client_Master!H35</f>
        <v>Low</v>
      </c>
      <c r="D35" s="29" t="n">
        <f aca="false">SUMIFS(Transactions!$E$2:$E$114,Transactions!$C$2:$C$114,A35,Transactions!$I$2:$I$114,"Y")</f>
        <v>0</v>
      </c>
      <c r="E35" s="29" t="n">
        <f aca="false">Client_Master!O35*Assumptions!$B$9</f>
        <v>50000</v>
      </c>
      <c r="F35" s="27" t="n">
        <f aca="false">COUNTIFS(Transactions!$C$2:$C$114,A35,Transactions!$K$2:$K$114,"Y")</f>
        <v>0</v>
      </c>
      <c r="G35" s="27" t="n">
        <f aca="false">COUNTIFS(CTR_Log!$A$2:$A$21,A35,CTR_Log!$F$2:$F$21,"YES")</f>
        <v>0</v>
      </c>
      <c r="H35" s="27" t="n">
        <f aca="false">COUNTIFS(Transactions!$C$2:$C$114,A35,Transactions!$L$2:$L$114,"&gt;=3")</f>
        <v>0</v>
      </c>
      <c r="I35" s="29" t="n">
        <f aca="false">SUMIFS(Transactions!$E$2:$E$114,Transactions!$C$2:$C$114,A35,Transactions!$D$2:$D$114,"Wire In")</f>
        <v>0</v>
      </c>
      <c r="J35" s="29" t="n">
        <f aca="false">SUMIFS(Transactions!$E$2:$E$114,Transactions!$C$2:$C$114,A35,Transactions!$D$2:$D$114,"Wire Out")</f>
        <v>0</v>
      </c>
      <c r="K35" s="27" t="n">
        <f aca="false">IF(F35&gt;=Assumptions!$B$7,1,0)</f>
        <v>0</v>
      </c>
      <c r="L35" s="27" t="n">
        <f aca="false">IF(AND(D35&gt;0,D35&gt;E35*Assumptions!$B$8),1,0)</f>
        <v>0</v>
      </c>
      <c r="M35" s="27" t="n">
        <f aca="false">IF(H35&gt;0,1,0)</f>
        <v>0</v>
      </c>
      <c r="N35" s="27" t="n">
        <f aca="false">IF(AND(Client_Master!N35="Y",I35+J35&gt;=Assumptions!$B$11),1,0)</f>
        <v>0</v>
      </c>
      <c r="O35" s="31" t="n">
        <f aca="false">IF(AND(I35&gt;=Assumptions!$B$13,J35&gt;=Assumptions!$B$13),IF(ABS(J35/I35-1)&lt;=Assumptions!$B$12,1,0),0)</f>
        <v>0</v>
      </c>
      <c r="P35" s="31" t="n">
        <f aca="false">IF(Client_Master!M35="Potential Match",1,0)</f>
        <v>0</v>
      </c>
      <c r="Q35" s="27" t="n">
        <f aca="false">SUM(K35:P35)</f>
        <v>0</v>
      </c>
      <c r="R35" s="27" t="str">
        <f aca="false">IF(OR(K35=1,M35=1,N35=1,P35=1,Q35&gt;=2),"ESCALATE",IF(Q35=1,"Analyst Review","No Action"))</f>
        <v>No Action</v>
      </c>
      <c r="S35" s="27" t="str">
        <f aca="false">TRIM(IF(K35=1,"R1 Structuring; ","")&amp;IF(L35=1,"R2 Cash&gt;Profile; ","")&amp;IF(M35=1,"R3 High-Risk Jurisdiction; ","")&amp;IF(N35=1,"R4 PEP Activity; ","")&amp;IF(O35=1,"R5 Pass-through; ","")&amp;IF(P35=1,"R6 Sanctions Hit; ",""))</f>
        <v/>
      </c>
    </row>
    <row r="36" customFormat="false" ht="15" hidden="false" customHeight="false" outlineLevel="0" collapsed="false">
      <c r="A36" s="27" t="str">
        <f aca="false">Client_Master!A36</f>
        <v>C035</v>
      </c>
      <c r="B36" s="27" t="str">
        <f aca="false">Client_Master!B36</f>
        <v>Granite Peak Mining Services Ltd</v>
      </c>
      <c r="C36" s="27" t="str">
        <f aca="false">Client_Master!H36</f>
        <v>Low</v>
      </c>
      <c r="D36" s="29" t="n">
        <f aca="false">SUMIFS(Transactions!$E$2:$E$114,Transactions!$C$2:$C$114,A36,Transactions!$I$2:$I$114,"Y")</f>
        <v>0</v>
      </c>
      <c r="E36" s="29" t="n">
        <f aca="false">Client_Master!O36*Assumptions!$B$9</f>
        <v>0</v>
      </c>
      <c r="F36" s="27" t="n">
        <f aca="false">COUNTIFS(Transactions!$C$2:$C$114,A36,Transactions!$K$2:$K$114,"Y")</f>
        <v>0</v>
      </c>
      <c r="G36" s="27" t="n">
        <f aca="false">COUNTIFS(CTR_Log!$A$2:$A$21,A36,CTR_Log!$F$2:$F$21,"YES")</f>
        <v>0</v>
      </c>
      <c r="H36" s="27" t="n">
        <f aca="false">COUNTIFS(Transactions!$C$2:$C$114,A36,Transactions!$L$2:$L$114,"&gt;=3")</f>
        <v>0</v>
      </c>
      <c r="I36" s="29" t="n">
        <f aca="false">SUMIFS(Transactions!$E$2:$E$114,Transactions!$C$2:$C$114,A36,Transactions!$D$2:$D$114,"Wire In")</f>
        <v>173400</v>
      </c>
      <c r="J36" s="29" t="n">
        <f aca="false">SUMIFS(Transactions!$E$2:$E$114,Transactions!$C$2:$C$114,A36,Transactions!$D$2:$D$114,"Wire Out")</f>
        <v>81200</v>
      </c>
      <c r="K36" s="27" t="n">
        <f aca="false">IF(F36&gt;=Assumptions!$B$7,1,0)</f>
        <v>0</v>
      </c>
      <c r="L36" s="27" t="n">
        <f aca="false">IF(AND(D36&gt;0,D36&gt;E36*Assumptions!$B$8),1,0)</f>
        <v>0</v>
      </c>
      <c r="M36" s="27" t="n">
        <f aca="false">IF(H36&gt;0,1,0)</f>
        <v>0</v>
      </c>
      <c r="N36" s="27" t="n">
        <f aca="false">IF(AND(Client_Master!N36="Y",I36+J36&gt;=Assumptions!$B$11),1,0)</f>
        <v>0</v>
      </c>
      <c r="O36" s="31" t="n">
        <f aca="false">IF(AND(I36&gt;=Assumptions!$B$13,J36&gt;=Assumptions!$B$13),IF(ABS(J36/I36-1)&lt;=Assumptions!$B$12,1,0),0)</f>
        <v>0</v>
      </c>
      <c r="P36" s="31" t="n">
        <f aca="false">IF(Client_Master!M36="Potential Match",1,0)</f>
        <v>0</v>
      </c>
      <c r="Q36" s="27" t="n">
        <f aca="false">SUM(K36:P36)</f>
        <v>0</v>
      </c>
      <c r="R36" s="27" t="str">
        <f aca="false">IF(OR(K36=1,M36=1,N36=1,P36=1,Q36&gt;=2),"ESCALATE",IF(Q36=1,"Analyst Review","No Action"))</f>
        <v>No Action</v>
      </c>
      <c r="S36" s="27" t="str">
        <f aca="false">TRIM(IF(K36=1,"R1 Structuring; ","")&amp;IF(L36=1,"R2 Cash&gt;Profile; ","")&amp;IF(M36=1,"R3 High-Risk Jurisdiction; ","")&amp;IF(N36=1,"R4 PEP Activity; ","")&amp;IF(O36=1,"R5 Pass-through; ","")&amp;IF(P36=1,"R6 Sanctions Hit; ",""))</f>
        <v/>
      </c>
    </row>
    <row r="37" customFormat="false" ht="15" hidden="false" customHeight="false" outlineLevel="0" collapsed="false">
      <c r="A37" s="27" t="str">
        <f aca="false">Client_Master!A37</f>
        <v>C036</v>
      </c>
      <c r="B37" s="27" t="str">
        <f aca="false">Client_Master!B37</f>
        <v>Baltic Star Shipping Ltd</v>
      </c>
      <c r="C37" s="27" t="str">
        <f aca="false">Client_Master!H37</f>
        <v>Low</v>
      </c>
      <c r="D37" s="29" t="n">
        <f aca="false">SUMIFS(Transactions!$E$2:$E$114,Transactions!$C$2:$C$114,A37,Transactions!$I$2:$I$114,"Y")</f>
        <v>0</v>
      </c>
      <c r="E37" s="29" t="n">
        <f aca="false">Client_Master!O37*Assumptions!$B$9</f>
        <v>0</v>
      </c>
      <c r="F37" s="27" t="n">
        <f aca="false">COUNTIFS(Transactions!$C$2:$C$114,A37,Transactions!$K$2:$K$114,"Y")</f>
        <v>0</v>
      </c>
      <c r="G37" s="27" t="n">
        <f aca="false">COUNTIFS(CTR_Log!$A$2:$A$21,A37,CTR_Log!$F$2:$F$21,"YES")</f>
        <v>0</v>
      </c>
      <c r="H37" s="27" t="n">
        <f aca="false">COUNTIFS(Transactions!$C$2:$C$114,A37,Transactions!$L$2:$L$114,"&gt;=3")</f>
        <v>0</v>
      </c>
      <c r="I37" s="29" t="n">
        <f aca="false">SUMIFS(Transactions!$E$2:$E$114,Transactions!$C$2:$C$114,A37,Transactions!$D$2:$D$114,"Wire In")</f>
        <v>35000</v>
      </c>
      <c r="J37" s="29" t="n">
        <f aca="false">SUMIFS(Transactions!$E$2:$E$114,Transactions!$C$2:$C$114,A37,Transactions!$D$2:$D$114,"Wire Out")</f>
        <v>28000</v>
      </c>
      <c r="K37" s="27" t="n">
        <f aca="false">IF(F37&gt;=Assumptions!$B$7,1,0)</f>
        <v>0</v>
      </c>
      <c r="L37" s="27" t="n">
        <f aca="false">IF(AND(D37&gt;0,D37&gt;E37*Assumptions!$B$8),1,0)</f>
        <v>0</v>
      </c>
      <c r="M37" s="27" t="n">
        <f aca="false">IF(H37&gt;0,1,0)</f>
        <v>0</v>
      </c>
      <c r="N37" s="27" t="n">
        <f aca="false">IF(AND(Client_Master!N37="Y",I37+J37&gt;=Assumptions!$B$11),1,0)</f>
        <v>0</v>
      </c>
      <c r="O37" s="31" t="n">
        <f aca="false">IF(AND(I37&gt;=Assumptions!$B$13,J37&gt;=Assumptions!$B$13),IF(ABS(J37/I37-1)&lt;=Assumptions!$B$12,1,0),0)</f>
        <v>0</v>
      </c>
      <c r="P37" s="31" t="n">
        <f aca="false">IF(Client_Master!M37="Potential Match",1,0)</f>
        <v>1</v>
      </c>
      <c r="Q37" s="27" t="n">
        <f aca="false">SUM(K37:P37)</f>
        <v>1</v>
      </c>
      <c r="R37" s="27" t="str">
        <f aca="false">IF(OR(K37=1,M37=1,N37=1,P37=1,Q37&gt;=2),"ESCALATE",IF(Q37=1,"Analyst Review","No Action"))</f>
        <v>ESCALATE</v>
      </c>
      <c r="S37" s="27" t="str">
        <f aca="false">TRIM(IF(K37=1,"R1 Structuring; ","")&amp;IF(L37=1,"R2 Cash&gt;Profile; ","")&amp;IF(M37=1,"R3 High-Risk Jurisdiction; ","")&amp;IF(N37=1,"R4 PEP Activity; ","")&amp;IF(O37=1,"R5 Pass-through; ","")&amp;IF(P37=1,"R6 Sanctions Hit; ",""))</f>
        <v>R6 Sanctions Hit;</v>
      </c>
    </row>
    <row r="38" customFormat="false" ht="15" hidden="false" customHeight="false" outlineLevel="0" collapsed="false">
      <c r="A38" s="27" t="str">
        <f aca="false">Client_Master!A38</f>
        <v>C037</v>
      </c>
      <c r="B38" s="27" t="str">
        <f aca="false">Client_Master!B38</f>
        <v>Emerald Isle Software Ltd</v>
      </c>
      <c r="C38" s="27" t="str">
        <f aca="false">Client_Master!H38</f>
        <v>Low</v>
      </c>
      <c r="D38" s="29" t="n">
        <f aca="false">SUMIFS(Transactions!$E$2:$E$114,Transactions!$C$2:$C$114,A38,Transactions!$I$2:$I$114,"Y")</f>
        <v>0</v>
      </c>
      <c r="E38" s="29" t="n">
        <f aca="false">Client_Master!O38*Assumptions!$B$9</f>
        <v>0</v>
      </c>
      <c r="F38" s="27" t="n">
        <f aca="false">COUNTIFS(Transactions!$C$2:$C$114,A38,Transactions!$K$2:$K$114,"Y")</f>
        <v>0</v>
      </c>
      <c r="G38" s="27" t="n">
        <f aca="false">COUNTIFS(CTR_Log!$A$2:$A$21,A38,CTR_Log!$F$2:$F$21,"YES")</f>
        <v>0</v>
      </c>
      <c r="H38" s="27" t="n">
        <f aca="false">COUNTIFS(Transactions!$C$2:$C$114,A38,Transactions!$L$2:$L$114,"&gt;=3")</f>
        <v>0</v>
      </c>
      <c r="I38" s="29" t="n">
        <f aca="false">SUMIFS(Transactions!$E$2:$E$114,Transactions!$C$2:$C$114,A38,Transactions!$D$2:$D$114,"Wire In")</f>
        <v>0</v>
      </c>
      <c r="J38" s="29" t="n">
        <f aca="false">SUMIFS(Transactions!$E$2:$E$114,Transactions!$C$2:$C$114,A38,Transactions!$D$2:$D$114,"Wire Out")</f>
        <v>90700</v>
      </c>
      <c r="K38" s="27" t="n">
        <f aca="false">IF(F38&gt;=Assumptions!$B$7,1,0)</f>
        <v>0</v>
      </c>
      <c r="L38" s="27" t="n">
        <f aca="false">IF(AND(D38&gt;0,D38&gt;E38*Assumptions!$B$8),1,0)</f>
        <v>0</v>
      </c>
      <c r="M38" s="27" t="n">
        <f aca="false">IF(H38&gt;0,1,0)</f>
        <v>0</v>
      </c>
      <c r="N38" s="27" t="n">
        <f aca="false">IF(AND(Client_Master!N38="Y",I38+J38&gt;=Assumptions!$B$11),1,0)</f>
        <v>0</v>
      </c>
      <c r="O38" s="31" t="n">
        <f aca="false">IF(AND(I38&gt;=Assumptions!$B$13,J38&gt;=Assumptions!$B$13),IF(ABS(J38/I38-1)&lt;=Assumptions!$B$12,1,0),0)</f>
        <v>0</v>
      </c>
      <c r="P38" s="31" t="n">
        <f aca="false">IF(Client_Master!M38="Potential Match",1,0)</f>
        <v>0</v>
      </c>
      <c r="Q38" s="27" t="n">
        <f aca="false">SUM(K38:P38)</f>
        <v>0</v>
      </c>
      <c r="R38" s="27" t="str">
        <f aca="false">IF(OR(K38=1,M38=1,N38=1,P38=1,Q38&gt;=2),"ESCALATE",IF(Q38=1,"Analyst Review","No Action"))</f>
        <v>No Action</v>
      </c>
      <c r="S38" s="27" t="str">
        <f aca="false">TRIM(IF(K38=1,"R1 Structuring; ","")&amp;IF(L38=1,"R2 Cash&gt;Profile; ","")&amp;IF(M38=1,"R3 High-Risk Jurisdiction; ","")&amp;IF(N38=1,"R4 PEP Activity; ","")&amp;IF(O38=1,"R5 Pass-through; ","")&amp;IF(P38=1,"R6 Sanctions Hit; ",""))</f>
        <v/>
      </c>
    </row>
    <row r="39" customFormat="false" ht="15" hidden="false" customHeight="false" outlineLevel="0" collapsed="false">
      <c r="A39" s="27" t="str">
        <f aca="false">Client_Master!A39</f>
        <v>C038</v>
      </c>
      <c r="B39" s="27" t="str">
        <f aca="false">Client_Master!B39</f>
        <v>Zenith Wellness Clinics Pvt Ltd</v>
      </c>
      <c r="C39" s="27" t="str">
        <f aca="false">Client_Master!H39</f>
        <v>Low</v>
      </c>
      <c r="D39" s="29" t="n">
        <f aca="false">SUMIFS(Transactions!$E$2:$E$114,Transactions!$C$2:$C$114,A39,Transactions!$I$2:$I$114,"Y")</f>
        <v>0</v>
      </c>
      <c r="E39" s="29" t="n">
        <f aca="false">Client_Master!O39*Assumptions!$B$9</f>
        <v>0</v>
      </c>
      <c r="F39" s="27" t="n">
        <f aca="false">COUNTIFS(Transactions!$C$2:$C$114,A39,Transactions!$K$2:$K$114,"Y")</f>
        <v>0</v>
      </c>
      <c r="G39" s="27" t="n">
        <f aca="false">COUNTIFS(CTR_Log!$A$2:$A$21,A39,CTR_Log!$F$2:$F$21,"YES")</f>
        <v>0</v>
      </c>
      <c r="H39" s="27" t="n">
        <f aca="false">COUNTIFS(Transactions!$C$2:$C$114,A39,Transactions!$L$2:$L$114,"&gt;=3")</f>
        <v>0</v>
      </c>
      <c r="I39" s="29" t="n">
        <f aca="false">SUMIFS(Transactions!$E$2:$E$114,Transactions!$C$2:$C$114,A39,Transactions!$D$2:$D$114,"Wire In")</f>
        <v>40000</v>
      </c>
      <c r="J39" s="29" t="n">
        <f aca="false">SUMIFS(Transactions!$E$2:$E$114,Transactions!$C$2:$C$114,A39,Transactions!$D$2:$D$114,"Wire Out")</f>
        <v>0</v>
      </c>
      <c r="K39" s="27" t="n">
        <f aca="false">IF(F39&gt;=Assumptions!$B$7,1,0)</f>
        <v>0</v>
      </c>
      <c r="L39" s="27" t="n">
        <f aca="false">IF(AND(D39&gt;0,D39&gt;E39*Assumptions!$B$8),1,0)</f>
        <v>0</v>
      </c>
      <c r="M39" s="27" t="n">
        <f aca="false">IF(H39&gt;0,1,0)</f>
        <v>0</v>
      </c>
      <c r="N39" s="27" t="n">
        <f aca="false">IF(AND(Client_Master!N39="Y",I39+J39&gt;=Assumptions!$B$11),1,0)</f>
        <v>0</v>
      </c>
      <c r="O39" s="31" t="n">
        <f aca="false">IF(AND(I39&gt;=Assumptions!$B$13,J39&gt;=Assumptions!$B$13),IF(ABS(J39/I39-1)&lt;=Assumptions!$B$12,1,0),0)</f>
        <v>0</v>
      </c>
      <c r="P39" s="31" t="n">
        <f aca="false">IF(Client_Master!M39="Potential Match",1,0)</f>
        <v>0</v>
      </c>
      <c r="Q39" s="27" t="n">
        <f aca="false">SUM(K39:P39)</f>
        <v>0</v>
      </c>
      <c r="R39" s="27" t="str">
        <f aca="false">IF(OR(K39=1,M39=1,N39=1,P39=1,Q39&gt;=2),"ESCALATE",IF(Q39=1,"Analyst Review","No Action"))</f>
        <v>No Action</v>
      </c>
      <c r="S39" s="27" t="str">
        <f aca="false">TRIM(IF(K39=1,"R1 Structuring; ","")&amp;IF(L39=1,"R2 Cash&gt;Profile; ","")&amp;IF(M39=1,"R3 High-Risk Jurisdiction; ","")&amp;IF(N39=1,"R4 PEP Activity; ","")&amp;IF(O39=1,"R5 Pass-through; ","")&amp;IF(P39=1,"R6 Sanctions Hit; ",""))</f>
        <v/>
      </c>
    </row>
    <row r="40" customFormat="false" ht="15" hidden="false" customHeight="false" outlineLevel="0" collapsed="false">
      <c r="A40" s="27" t="str">
        <f aca="false">Client_Master!A40</f>
        <v>C039</v>
      </c>
      <c r="B40" s="27" t="str">
        <f aca="false">Client_Master!B40</f>
        <v>Ridgeway Used Cars Ltd</v>
      </c>
      <c r="C40" s="27" t="str">
        <f aca="false">Client_Master!H40</f>
        <v>Low</v>
      </c>
      <c r="D40" s="29" t="n">
        <f aca="false">SUMIFS(Transactions!$E$2:$E$114,Transactions!$C$2:$C$114,A40,Transactions!$I$2:$I$114,"Y")</f>
        <v>9000</v>
      </c>
      <c r="E40" s="29" t="n">
        <f aca="false">Client_Master!O40*Assumptions!$B$9</f>
        <v>70000</v>
      </c>
      <c r="F40" s="27" t="n">
        <f aca="false">COUNTIFS(Transactions!$C$2:$C$114,A40,Transactions!$K$2:$K$114,"Y")</f>
        <v>0</v>
      </c>
      <c r="G40" s="27" t="n">
        <f aca="false">COUNTIFS(CTR_Log!$A$2:$A$21,A40,CTR_Log!$F$2:$F$21,"YES")</f>
        <v>0</v>
      </c>
      <c r="H40" s="27" t="n">
        <f aca="false">COUNTIFS(Transactions!$C$2:$C$114,A40,Transactions!$L$2:$L$114,"&gt;=3")</f>
        <v>0</v>
      </c>
      <c r="I40" s="29" t="n">
        <f aca="false">SUMIFS(Transactions!$E$2:$E$114,Transactions!$C$2:$C$114,A40,Transactions!$D$2:$D$114,"Wire In")</f>
        <v>0</v>
      </c>
      <c r="J40" s="29" t="n">
        <f aca="false">SUMIFS(Transactions!$E$2:$E$114,Transactions!$C$2:$C$114,A40,Transactions!$D$2:$D$114,"Wire Out")</f>
        <v>0</v>
      </c>
      <c r="K40" s="27" t="n">
        <f aca="false">IF(F40&gt;=Assumptions!$B$7,1,0)</f>
        <v>0</v>
      </c>
      <c r="L40" s="27" t="n">
        <f aca="false">IF(AND(D40&gt;0,D40&gt;E40*Assumptions!$B$8),1,0)</f>
        <v>0</v>
      </c>
      <c r="M40" s="27" t="n">
        <f aca="false">IF(H40&gt;0,1,0)</f>
        <v>0</v>
      </c>
      <c r="N40" s="27" t="n">
        <f aca="false">IF(AND(Client_Master!N40="Y",I40+J40&gt;=Assumptions!$B$11),1,0)</f>
        <v>0</v>
      </c>
      <c r="O40" s="31" t="n">
        <f aca="false">IF(AND(I40&gt;=Assumptions!$B$13,J40&gt;=Assumptions!$B$13),IF(ABS(J40/I40-1)&lt;=Assumptions!$B$12,1,0),0)</f>
        <v>0</v>
      </c>
      <c r="P40" s="31" t="n">
        <f aca="false">IF(Client_Master!M40="Potential Match",1,0)</f>
        <v>0</v>
      </c>
      <c r="Q40" s="27" t="n">
        <f aca="false">SUM(K40:P40)</f>
        <v>0</v>
      </c>
      <c r="R40" s="27" t="str">
        <f aca="false">IF(OR(K40=1,M40=1,N40=1,P40=1,Q40&gt;=2),"ESCALATE",IF(Q40=1,"Analyst Review","No Action"))</f>
        <v>No Action</v>
      </c>
      <c r="S40" s="27" t="str">
        <f aca="false">TRIM(IF(K40=1,"R1 Structuring; ","")&amp;IF(L40=1,"R2 Cash&gt;Profile; ","")&amp;IF(M40=1,"R3 High-Risk Jurisdiction; ","")&amp;IF(N40=1,"R4 PEP Activity; ","")&amp;IF(O40=1,"R5 Pass-through; ","")&amp;IF(P40=1,"R6 Sanctions Hit; ",""))</f>
        <v/>
      </c>
    </row>
    <row r="41" customFormat="false" ht="15" hidden="false" customHeight="false" outlineLevel="0" collapsed="false">
      <c r="A41" s="27" t="str">
        <f aca="false">Client_Master!A41</f>
        <v>C040</v>
      </c>
      <c r="B41" s="27" t="str">
        <f aca="false">Client_Master!B41</f>
        <v>Orchid Textiles Pvt Ltd</v>
      </c>
      <c r="C41" s="27" t="str">
        <f aca="false">Client_Master!H41</f>
        <v>Low</v>
      </c>
      <c r="D41" s="29" t="n">
        <f aca="false">SUMIFS(Transactions!$E$2:$E$114,Transactions!$C$2:$C$114,A41,Transactions!$I$2:$I$114,"Y")</f>
        <v>0</v>
      </c>
      <c r="E41" s="29" t="n">
        <f aca="false">Client_Master!O41*Assumptions!$B$9</f>
        <v>0</v>
      </c>
      <c r="F41" s="27" t="n">
        <f aca="false">COUNTIFS(Transactions!$C$2:$C$114,A41,Transactions!$K$2:$K$114,"Y")</f>
        <v>0</v>
      </c>
      <c r="G41" s="27" t="n">
        <f aca="false">COUNTIFS(CTR_Log!$A$2:$A$21,A41,CTR_Log!$F$2:$F$21,"YES")</f>
        <v>0</v>
      </c>
      <c r="H41" s="27" t="n">
        <f aca="false">COUNTIFS(Transactions!$C$2:$C$114,A41,Transactions!$L$2:$L$114,"&gt;=3")</f>
        <v>0</v>
      </c>
      <c r="I41" s="29" t="n">
        <f aca="false">SUMIFS(Transactions!$E$2:$E$114,Transactions!$C$2:$C$114,A41,Transactions!$D$2:$D$114,"Wire In")</f>
        <v>89900</v>
      </c>
      <c r="J41" s="29" t="n">
        <f aca="false">SUMIFS(Transactions!$E$2:$E$114,Transactions!$C$2:$C$114,A41,Transactions!$D$2:$D$114,"Wire Out")</f>
        <v>51500</v>
      </c>
      <c r="K41" s="27" t="n">
        <f aca="false">IF(F41&gt;=Assumptions!$B$7,1,0)</f>
        <v>0</v>
      </c>
      <c r="L41" s="27" t="n">
        <f aca="false">IF(AND(D41&gt;0,D41&gt;E41*Assumptions!$B$8),1,0)</f>
        <v>0</v>
      </c>
      <c r="M41" s="27" t="n">
        <f aca="false">IF(H41&gt;0,1,0)</f>
        <v>0</v>
      </c>
      <c r="N41" s="27" t="n">
        <f aca="false">IF(AND(Client_Master!N41="Y",I41+J41&gt;=Assumptions!$B$11),1,0)</f>
        <v>0</v>
      </c>
      <c r="O41" s="31" t="n">
        <f aca="false">IF(AND(I41&gt;=Assumptions!$B$13,J41&gt;=Assumptions!$B$13),IF(ABS(J41/I41-1)&lt;=Assumptions!$B$12,1,0),0)</f>
        <v>0</v>
      </c>
      <c r="P41" s="31" t="n">
        <f aca="false">IF(Client_Master!M41="Potential Match",1,0)</f>
        <v>0</v>
      </c>
      <c r="Q41" s="27" t="n">
        <f aca="false">SUM(K41:P41)</f>
        <v>0</v>
      </c>
      <c r="R41" s="27" t="str">
        <f aca="false">IF(OR(K41=1,M41=1,N41=1,P41=1,Q41&gt;=2),"ESCALATE",IF(Q41=1,"Analyst Review","No Action"))</f>
        <v>No Action</v>
      </c>
      <c r="S41" s="27" t="str">
        <f aca="false">TRIM(IF(K41=1,"R1 Structuring; ","")&amp;IF(L41=1,"R2 Cash&gt;Profile; ","")&amp;IF(M41=1,"R3 High-Risk Jurisdiction; ","")&amp;IF(N41=1,"R4 PEP Activity; ","")&amp;IF(O41=1,"R5 Pass-through; ","")&amp;IF(P41=1,"R6 Sanctions Hit; ",""))</f>
        <v/>
      </c>
    </row>
  </sheetData>
  <autoFilter ref="A1:S41"/>
  <conditionalFormatting sqref="R2:R41">
    <cfRule type="expression" priority="2" aboveAverage="0" equalAverage="0" bottom="0" percent="0" rank="0" text="" dxfId="12">
      <formula>ISNUMBER(SEARCH("ESCALATE",R2))</formula>
    </cfRule>
    <cfRule type="expression" priority="3" aboveAverage="0" equalAverage="0" bottom="0" percent="0" rank="0" text="" dxfId="10">
      <formula>ISNUMBER(SEARCH("Analyst",R2))</formula>
    </cfRule>
    <cfRule type="expression" priority="4" aboveAverage="0" equalAverage="0" bottom="0" percent="0" rank="0" text="" dxfId="11">
      <formula>ISNUMBER(SEARCH("No Action",R2))</formula>
    </cfRule>
  </conditionalFormatting>
  <conditionalFormatting sqref="K2:K41">
    <cfRule type="expression" priority="5" aboveAverage="0" equalAverage="0" bottom="0" percent="0" rank="0" text="" dxfId="12">
      <formula>K2=1</formula>
    </cfRule>
  </conditionalFormatting>
  <conditionalFormatting sqref="L2:L41">
    <cfRule type="expression" priority="6" aboveAverage="0" equalAverage="0" bottom="0" percent="0" rank="0" text="" dxfId="12">
      <formula>L2=1</formula>
    </cfRule>
  </conditionalFormatting>
  <conditionalFormatting sqref="M2:M41">
    <cfRule type="expression" priority="7" aboveAverage="0" equalAverage="0" bottom="0" percent="0" rank="0" text="" dxfId="12">
      <formula>M2=1</formula>
    </cfRule>
  </conditionalFormatting>
  <conditionalFormatting sqref="N2:N41">
    <cfRule type="expression" priority="8" aboveAverage="0" equalAverage="0" bottom="0" percent="0" rank="0" text="" dxfId="12">
      <formula>N2=1</formula>
    </cfRule>
  </conditionalFormatting>
  <conditionalFormatting sqref="O2:O41">
    <cfRule type="expression" priority="9" aboveAverage="0" equalAverage="0" bottom="0" percent="0" rank="0" text="" dxfId="12">
      <formula>O2=1</formula>
    </cfRule>
  </conditionalFormatting>
  <conditionalFormatting sqref="P2:P41">
    <cfRule type="expression" priority="10" aboveAverage="0" equalAverage="0" bottom="0" percent="0" rank="0" text="" dxfId="12">
      <formula>P2=1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42" hidden="false" customHeight="true" outlineLevel="0" collapsed="false">
      <c r="A1" s="25" t="s">
        <v>490</v>
      </c>
      <c r="B1" s="25" t="s">
        <v>491</v>
      </c>
      <c r="C1" s="25" t="s">
        <v>492</v>
      </c>
      <c r="D1" s="25" t="s">
        <v>493</v>
      </c>
      <c r="E1" s="26" t="s">
        <v>147</v>
      </c>
      <c r="F1" s="25" t="s">
        <v>494</v>
      </c>
    </row>
    <row r="2" customFormat="false" ht="60" hidden="false" customHeight="true" outlineLevel="0" collapsed="false">
      <c r="A2" s="32" t="s">
        <v>495</v>
      </c>
      <c r="B2" s="32" t="s">
        <v>496</v>
      </c>
      <c r="C2" s="32" t="s">
        <v>497</v>
      </c>
      <c r="D2" s="32" t="s">
        <v>498</v>
      </c>
      <c r="E2" s="32" t="n">
        <v>3</v>
      </c>
      <c r="F2" s="32" t="s">
        <v>499</v>
      </c>
    </row>
    <row r="3" customFormat="false" ht="60" hidden="false" customHeight="true" outlineLevel="0" collapsed="false">
      <c r="A3" s="32" t="s">
        <v>500</v>
      </c>
      <c r="B3" s="32" t="s">
        <v>501</v>
      </c>
      <c r="C3" s="32" t="s">
        <v>502</v>
      </c>
      <c r="D3" s="32" t="s">
        <v>503</v>
      </c>
      <c r="E3" s="32" t="n">
        <v>5</v>
      </c>
      <c r="F3" s="32" t="s">
        <v>504</v>
      </c>
    </row>
    <row r="4" customFormat="false" ht="60" hidden="false" customHeight="true" outlineLevel="0" collapsed="false">
      <c r="A4" s="32" t="s">
        <v>505</v>
      </c>
      <c r="B4" s="32" t="s">
        <v>506</v>
      </c>
      <c r="C4" s="32" t="s">
        <v>507</v>
      </c>
      <c r="D4" s="32" t="s">
        <v>508</v>
      </c>
      <c r="E4" s="32" t="n">
        <v>10</v>
      </c>
      <c r="F4" s="32" t="s">
        <v>509</v>
      </c>
    </row>
    <row r="6" customFormat="false" ht="15" hidden="false" customHeight="false" outlineLevel="0" collapsed="false">
      <c r="A6" s="6" t="s">
        <v>510</v>
      </c>
    </row>
    <row r="7" customFormat="false" ht="15" hidden="false" customHeight="false" outlineLevel="0" collapsed="false">
      <c r="A7" s="33" t="s">
        <v>511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80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52"/>
  </cols>
  <sheetData>
    <row r="1" customFormat="false" ht="42" hidden="false" customHeight="true" outlineLevel="0" collapsed="false">
      <c r="A1" s="25" t="s">
        <v>512</v>
      </c>
      <c r="B1" s="25" t="s">
        <v>513</v>
      </c>
      <c r="C1" s="25" t="s">
        <v>189</v>
      </c>
      <c r="D1" s="26" t="s">
        <v>306</v>
      </c>
      <c r="E1" s="25" t="s">
        <v>514</v>
      </c>
      <c r="F1" s="25" t="s">
        <v>515</v>
      </c>
      <c r="G1" s="25" t="s">
        <v>516</v>
      </c>
      <c r="H1" s="25" t="s">
        <v>517</v>
      </c>
      <c r="I1" s="26" t="s">
        <v>147</v>
      </c>
      <c r="J1" s="25" t="s">
        <v>518</v>
      </c>
      <c r="K1" s="26" t="s">
        <v>519</v>
      </c>
      <c r="L1" s="26" t="s">
        <v>520</v>
      </c>
      <c r="M1" s="26" t="s">
        <v>521</v>
      </c>
      <c r="N1" s="26" t="s">
        <v>522</v>
      </c>
      <c r="O1" s="25" t="s">
        <v>523</v>
      </c>
    </row>
    <row r="2" customFormat="false" ht="105" hidden="false" customHeight="true" outlineLevel="0" collapsed="false">
      <c r="A2" s="34" t="s">
        <v>524</v>
      </c>
      <c r="B2" s="35" t="n">
        <v>46314</v>
      </c>
      <c r="C2" s="34" t="s">
        <v>255</v>
      </c>
      <c r="D2" s="32" t="str">
        <f aca="false">IFERROR(INDEX(Client_Master!$B$2:$B$41,MATCH(C2,Client_Master!$A$2:$A$41,0)),"UNKNOWN CLIENT")</f>
        <v>Metro Fuel &amp; Convenience Stores Inc</v>
      </c>
      <c r="E2" s="32" t="s">
        <v>525</v>
      </c>
      <c r="F2" s="32" t="s">
        <v>526</v>
      </c>
      <c r="G2" s="32" t="s">
        <v>505</v>
      </c>
      <c r="H2" s="32" t="s">
        <v>508</v>
      </c>
      <c r="I2" s="34" t="n">
        <f aca="false">INDEX(Escalation_Matrix!$E$2:$E$4,MATCH(G2,Escalation_Matrix!$A$2:$A$4,0))</f>
        <v>10</v>
      </c>
      <c r="J2" s="35"/>
      <c r="K2" s="34" t="str">
        <f aca="false">IF(ISNUMBER(J2),"Closed","Open")</f>
        <v>Open</v>
      </c>
      <c r="L2" s="34" t="n">
        <f aca="false">NETWORKDAYS(B2,IF(ISNUMBER(J2),J2,Assumptions!$B$4))-1</f>
        <v>5</v>
      </c>
      <c r="M2" s="34" t="str">
        <f aca="false">IF(L2&gt;I2,"SLA Breached","Within SLA")</f>
        <v>Within SLA</v>
      </c>
      <c r="N2" s="34" t="str">
        <f aca="false">IFERROR(INDEX(Alert_Monitoring!$R$2:$R$41,MATCH(C2,Alert_Monitoring!$A$2:$A$41,0)),"N/A - not in CRM")</f>
        <v>ESCALATE</v>
      </c>
      <c r="O2" s="32" t="s">
        <v>527</v>
      </c>
    </row>
    <row r="3" customFormat="false" ht="105" hidden="false" customHeight="true" outlineLevel="0" collapsed="false">
      <c r="A3" s="34" t="s">
        <v>528</v>
      </c>
      <c r="B3" s="35" t="n">
        <v>46303</v>
      </c>
      <c r="C3" s="34" t="s">
        <v>271</v>
      </c>
      <c r="D3" s="32" t="str">
        <f aca="false">IFERROR(INDEX(Client_Master!$B$2:$B$41,MATCH(C3,Client_Master!$A$2:$A$41,0)),"UNKNOWN CLIENT")</f>
        <v>Irrawaddy Trade Links Ltd</v>
      </c>
      <c r="E3" s="32" t="s">
        <v>529</v>
      </c>
      <c r="F3" s="32" t="s">
        <v>530</v>
      </c>
      <c r="G3" s="32" t="s">
        <v>505</v>
      </c>
      <c r="H3" s="32" t="s">
        <v>508</v>
      </c>
      <c r="I3" s="34" t="n">
        <f aca="false">INDEX(Escalation_Matrix!$E$2:$E$4,MATCH(G3,Escalation_Matrix!$A$2:$A$4,0))</f>
        <v>10</v>
      </c>
      <c r="J3" s="35"/>
      <c r="K3" s="34" t="str">
        <f aca="false">IF(ISNUMBER(J3),"Closed","Open")</f>
        <v>Open</v>
      </c>
      <c r="L3" s="34" t="n">
        <f aca="false">NETWORKDAYS(B3,IF(ISNUMBER(J3),J3,Assumptions!$B$4))-1</f>
        <v>12</v>
      </c>
      <c r="M3" s="34" t="str">
        <f aca="false">IF(L3&gt;I3,"SLA Breached","Within SLA")</f>
        <v>SLA Breached</v>
      </c>
      <c r="N3" s="34" t="str">
        <f aca="false">IFERROR(INDEX(Alert_Monitoring!$R$2:$R$41,MATCH(C3,Alert_Monitoring!$A$2:$A$41,0)),"N/A - not in CRM")</f>
        <v>ESCALATE</v>
      </c>
      <c r="O3" s="32" t="s">
        <v>531</v>
      </c>
    </row>
    <row r="4" customFormat="false" ht="105" hidden="false" customHeight="true" outlineLevel="0" collapsed="false">
      <c r="A4" s="34" t="s">
        <v>532</v>
      </c>
      <c r="B4" s="35" t="n">
        <v>46304</v>
      </c>
      <c r="C4" s="34" t="s">
        <v>247</v>
      </c>
      <c r="D4" s="32" t="str">
        <f aca="false">IFERROR(INDEX(Client_Master!$B$2:$B$41,MATCH(C4,Client_Master!$A$2:$A$41,0)),"UNKNOWN CLIENT")</f>
        <v>Hollis Capital Partners LLP</v>
      </c>
      <c r="E4" s="32" t="s">
        <v>533</v>
      </c>
      <c r="F4" s="32" t="s">
        <v>534</v>
      </c>
      <c r="G4" s="32" t="s">
        <v>500</v>
      </c>
      <c r="H4" s="32" t="s">
        <v>503</v>
      </c>
      <c r="I4" s="34" t="n">
        <f aca="false">INDEX(Escalation_Matrix!$E$2:$E$4,MATCH(G4,Escalation_Matrix!$A$2:$A$4,0))</f>
        <v>5</v>
      </c>
      <c r="J4" s="35" t="n">
        <v>46310</v>
      </c>
      <c r="K4" s="34" t="str">
        <f aca="false">IF(ISNUMBER(J4),"Closed","Open")</f>
        <v>Closed</v>
      </c>
      <c r="L4" s="34" t="n">
        <f aca="false">NETWORKDAYS(B4,IF(ISNUMBER(J4),J4,Assumptions!$B$4))-1</f>
        <v>4</v>
      </c>
      <c r="M4" s="34" t="str">
        <f aca="false">IF(L4&gt;I4,"SLA Breached","Within SLA")</f>
        <v>Within SLA</v>
      </c>
      <c r="N4" s="34" t="str">
        <f aca="false">IFERROR(INDEX(Alert_Monitoring!$R$2:$R$41,MATCH(C4,Alert_Monitoring!$A$2:$A$41,0)),"N/A - not in CRM")</f>
        <v>ESCALATE</v>
      </c>
      <c r="O4" s="32" t="s">
        <v>535</v>
      </c>
    </row>
    <row r="5" customFormat="false" ht="105" hidden="false" customHeight="true" outlineLevel="0" collapsed="false">
      <c r="A5" s="34" t="s">
        <v>536</v>
      </c>
      <c r="B5" s="35" t="n">
        <v>46301</v>
      </c>
      <c r="C5" s="34" t="s">
        <v>261</v>
      </c>
      <c r="D5" s="32" t="str">
        <f aca="false">IFERROR(INDEX(Client_Master!$B$2:$B$41,MATCH(C5,Client_Master!$A$2:$A$41,0)),"UNKNOWN CLIENT")</f>
        <v>Vantage Commodities Trading FZE</v>
      </c>
      <c r="E5" s="32" t="s">
        <v>537</v>
      </c>
      <c r="F5" s="32" t="s">
        <v>538</v>
      </c>
      <c r="G5" s="32" t="s">
        <v>500</v>
      </c>
      <c r="H5" s="32" t="s">
        <v>503</v>
      </c>
      <c r="I5" s="34" t="n">
        <f aca="false">INDEX(Escalation_Matrix!$E$2:$E$4,MATCH(G5,Escalation_Matrix!$A$2:$A$4,0))</f>
        <v>5</v>
      </c>
      <c r="J5" s="35" t="n">
        <v>46308</v>
      </c>
      <c r="K5" s="34" t="str">
        <f aca="false">IF(ISNUMBER(J5),"Closed","Open")</f>
        <v>Closed</v>
      </c>
      <c r="L5" s="34" t="n">
        <f aca="false">NETWORKDAYS(B5,IF(ISNUMBER(J5),J5,Assumptions!$B$4))-1</f>
        <v>5</v>
      </c>
      <c r="M5" s="34" t="str">
        <f aca="false">IF(L5&gt;I5,"SLA Breached","Within SLA")</f>
        <v>Within SLA</v>
      </c>
      <c r="N5" s="34" t="str">
        <f aca="false">IFERROR(INDEX(Alert_Monitoring!$R$2:$R$41,MATCH(C5,Alert_Monitoring!$A$2:$A$41,0)),"N/A - not in CRM")</f>
        <v>Analyst Review</v>
      </c>
      <c r="O5" s="32" t="s">
        <v>539</v>
      </c>
    </row>
    <row r="6" customFormat="false" ht="105" hidden="false" customHeight="true" outlineLevel="0" collapsed="false">
      <c r="A6" s="34" t="s">
        <v>540</v>
      </c>
      <c r="B6" s="35" t="n">
        <v>46315</v>
      </c>
      <c r="C6" s="34" t="s">
        <v>288</v>
      </c>
      <c r="D6" s="32" t="str">
        <f aca="false">IFERROR(INDEX(Client_Master!$B$2:$B$41,MATCH(C6,Client_Master!$A$2:$A$41,0)),"UNKNOWN CLIENT")</f>
        <v>Baltic Star Shipping Ltd</v>
      </c>
      <c r="E6" s="32" t="s">
        <v>541</v>
      </c>
      <c r="F6" s="32" t="s">
        <v>542</v>
      </c>
      <c r="G6" s="32" t="s">
        <v>500</v>
      </c>
      <c r="H6" s="32" t="s">
        <v>503</v>
      </c>
      <c r="I6" s="34" t="n">
        <f aca="false">INDEX(Escalation_Matrix!$E$2:$E$4,MATCH(G6,Escalation_Matrix!$A$2:$A$4,0))</f>
        <v>5</v>
      </c>
      <c r="J6" s="35"/>
      <c r="K6" s="34" t="str">
        <f aca="false">IF(ISNUMBER(J6),"Closed","Open")</f>
        <v>Open</v>
      </c>
      <c r="L6" s="34" t="n">
        <f aca="false">NETWORKDAYS(B6,IF(ISNUMBER(J6),J6,Assumptions!$B$4))-1</f>
        <v>4</v>
      </c>
      <c r="M6" s="34" t="str">
        <f aca="false">IF(L6&gt;I6,"SLA Breached","Within SLA")</f>
        <v>Within SLA</v>
      </c>
      <c r="N6" s="34" t="str">
        <f aca="false">IFERROR(INDEX(Alert_Monitoring!$R$2:$R$41,MATCH(C6,Alert_Monitoring!$A$2:$A$41,0)),"N/A - not in CRM")</f>
        <v>ESCALATE</v>
      </c>
      <c r="O6" s="32" t="s">
        <v>543</v>
      </c>
    </row>
    <row r="7" customFormat="false" ht="105" hidden="false" customHeight="true" outlineLevel="0" collapsed="false">
      <c r="A7" s="34" t="s">
        <v>544</v>
      </c>
      <c r="B7" s="35" t="n">
        <v>46321</v>
      </c>
      <c r="C7" s="34" t="s">
        <v>233</v>
      </c>
      <c r="D7" s="32" t="str">
        <f aca="false">IFERROR(INDEX(Client_Master!$B$2:$B$41,MATCH(C7,Client_Master!$A$2:$A$41,0)),"UNKNOWN CLIENT")</f>
        <v>Golden Crest Jewellers LLC</v>
      </c>
      <c r="E7" s="32" t="s">
        <v>545</v>
      </c>
      <c r="F7" s="32" t="s">
        <v>546</v>
      </c>
      <c r="G7" s="32" t="s">
        <v>500</v>
      </c>
      <c r="H7" s="32" t="s">
        <v>503</v>
      </c>
      <c r="I7" s="34" t="n">
        <f aca="false">INDEX(Escalation_Matrix!$E$2:$E$4,MATCH(G7,Escalation_Matrix!$A$2:$A$4,0))</f>
        <v>5</v>
      </c>
      <c r="J7" s="35"/>
      <c r="K7" s="34" t="str">
        <f aca="false">IF(ISNUMBER(J7),"Closed","Open")</f>
        <v>Open</v>
      </c>
      <c r="L7" s="34" t="n">
        <f aca="false">NETWORKDAYS(B7,IF(ISNUMBER(J7),J7,Assumptions!$B$4))-1</f>
        <v>0</v>
      </c>
      <c r="M7" s="34" t="str">
        <f aca="false">IF(L7&gt;I7,"SLA Breached","Within SLA")</f>
        <v>Within SLA</v>
      </c>
      <c r="N7" s="34" t="str">
        <f aca="false">IFERROR(INDEX(Alert_Monitoring!$R$2:$R$41,MATCH(C7,Alert_Monitoring!$A$2:$A$41,0)),"N/A - not in CRM")</f>
        <v>Analyst Review</v>
      </c>
      <c r="O7" s="32" t="s">
        <v>547</v>
      </c>
    </row>
    <row r="8" customFormat="false" ht="105" hidden="false" customHeight="true" outlineLevel="0" collapsed="false">
      <c r="A8" s="34" t="s">
        <v>548</v>
      </c>
      <c r="B8" s="35" t="n">
        <v>46317</v>
      </c>
      <c r="C8" s="34" t="s">
        <v>411</v>
      </c>
      <c r="D8" s="32" t="str">
        <f aca="false">IFERROR(INDEX(Client_Master!$B$2:$B$41,MATCH(C8,Client_Master!$A$2:$A$41,0)),"UNKNOWN CLIENT")</f>
        <v>UNKNOWN CLIENT</v>
      </c>
      <c r="E8" s="32" t="s">
        <v>549</v>
      </c>
      <c r="F8" s="32" t="s">
        <v>550</v>
      </c>
      <c r="G8" s="32" t="s">
        <v>500</v>
      </c>
      <c r="H8" s="32" t="s">
        <v>503</v>
      </c>
      <c r="I8" s="34" t="n">
        <f aca="false">INDEX(Escalation_Matrix!$E$2:$E$4,MATCH(G8,Escalation_Matrix!$A$2:$A$4,0))</f>
        <v>5</v>
      </c>
      <c r="J8" s="35"/>
      <c r="K8" s="34" t="str">
        <f aca="false">IF(ISNUMBER(J8),"Closed","Open")</f>
        <v>Open</v>
      </c>
      <c r="L8" s="34" t="n">
        <f aca="false">NETWORKDAYS(B8,IF(ISNUMBER(J8),J8,Assumptions!$B$4))-1</f>
        <v>2</v>
      </c>
      <c r="M8" s="34" t="str">
        <f aca="false">IF(L8&gt;I8,"SLA Breached","Within SLA")</f>
        <v>Within SLA</v>
      </c>
      <c r="N8" s="34" t="str">
        <f aca="false">IFERROR(INDEX(Alert_Monitoring!$R$2:$R$41,MATCH(C8,Alert_Monitoring!$A$2:$A$41,0)),"N/A - not in CRM")</f>
        <v>N/A - not in CRM</v>
      </c>
      <c r="O8" s="32" t="s">
        <v>551</v>
      </c>
    </row>
    <row r="9" customFormat="false" ht="105" hidden="false" customHeight="true" outlineLevel="0" collapsed="false">
      <c r="A9" s="34" t="s">
        <v>552</v>
      </c>
      <c r="B9" s="35" t="n">
        <v>46314</v>
      </c>
      <c r="C9" s="34" t="s">
        <v>293</v>
      </c>
      <c r="D9" s="32" t="str">
        <f aca="false">IFERROR(INDEX(Client_Master!$B$2:$B$41,MATCH(C9,Client_Master!$A$2:$A$41,0)),"UNKNOWN CLIENT")</f>
        <v>Zenith Wellness Clinics Pvt Ltd</v>
      </c>
      <c r="E9" s="32" t="s">
        <v>553</v>
      </c>
      <c r="F9" s="32" t="s">
        <v>554</v>
      </c>
      <c r="G9" s="32" t="s">
        <v>500</v>
      </c>
      <c r="H9" s="32" t="s">
        <v>503</v>
      </c>
      <c r="I9" s="34" t="n">
        <f aca="false">INDEX(Escalation_Matrix!$E$2:$E$4,MATCH(G9,Escalation_Matrix!$A$2:$A$4,0))</f>
        <v>5</v>
      </c>
      <c r="J9" s="35"/>
      <c r="K9" s="34" t="str">
        <f aca="false">IF(ISNUMBER(J9),"Closed","Open")</f>
        <v>Open</v>
      </c>
      <c r="L9" s="34" t="n">
        <f aca="false">NETWORKDAYS(B9,IF(ISNUMBER(J9),J9,Assumptions!$B$4))-1</f>
        <v>5</v>
      </c>
      <c r="M9" s="34" t="str">
        <f aca="false">IF(L9&gt;I9,"SLA Breached","Within SLA")</f>
        <v>Within SLA</v>
      </c>
      <c r="N9" s="34" t="str">
        <f aca="false">IFERROR(INDEX(Alert_Monitoring!$R$2:$R$41,MATCH(C9,Alert_Monitoring!$A$2:$A$41,0)),"N/A - not in CRM")</f>
        <v>No Action</v>
      </c>
      <c r="O9" s="32" t="s">
        <v>555</v>
      </c>
    </row>
    <row r="10" customFormat="false" ht="105" hidden="false" customHeight="true" outlineLevel="0" collapsed="false">
      <c r="A10" s="34" t="s">
        <v>556</v>
      </c>
      <c r="B10" s="35" t="n">
        <v>46317</v>
      </c>
      <c r="C10" s="34" t="s">
        <v>251</v>
      </c>
      <c r="D10" s="32" t="str">
        <f aca="false">IFERROR(INDEX(Client_Master!$B$2:$B$41,MATCH(C10,Client_Master!$A$2:$A$41,0)),"UNKNOWN CLIENT")</f>
        <v>Evergreen Charitable Foundation</v>
      </c>
      <c r="E10" s="32" t="s">
        <v>557</v>
      </c>
      <c r="F10" s="32" t="s">
        <v>558</v>
      </c>
      <c r="G10" s="32" t="s">
        <v>495</v>
      </c>
      <c r="H10" s="32" t="s">
        <v>498</v>
      </c>
      <c r="I10" s="34" t="n">
        <f aca="false">INDEX(Escalation_Matrix!$E$2:$E$4,MATCH(G10,Escalation_Matrix!$A$2:$A$4,0))</f>
        <v>3</v>
      </c>
      <c r="J10" s="35"/>
      <c r="K10" s="34" t="str">
        <f aca="false">IF(ISNUMBER(J10),"Closed","Open")</f>
        <v>Open</v>
      </c>
      <c r="L10" s="34" t="n">
        <f aca="false">NETWORKDAYS(B10,IF(ISNUMBER(J10),J10,Assumptions!$B$4))-1</f>
        <v>2</v>
      </c>
      <c r="M10" s="34" t="str">
        <f aca="false">IF(L10&gt;I10,"SLA Breached","Within SLA")</f>
        <v>Within SLA</v>
      </c>
      <c r="N10" s="34" t="str">
        <f aca="false">IFERROR(INDEX(Alert_Monitoring!$R$2:$R$41,MATCH(C10,Alert_Monitoring!$A$2:$A$41,0)),"N/A - not in CRM")</f>
        <v>No Action</v>
      </c>
      <c r="O10" s="32" t="s">
        <v>559</v>
      </c>
    </row>
    <row r="11" customFormat="false" ht="105" hidden="false" customHeight="true" outlineLevel="0" collapsed="false">
      <c r="A11" s="34" t="s">
        <v>560</v>
      </c>
      <c r="B11" s="35" t="n">
        <v>46316</v>
      </c>
      <c r="C11" s="34" t="s">
        <v>279</v>
      </c>
      <c r="D11" s="32" t="str">
        <f aca="false">IFERROR(INDEX(Client_Master!$B$2:$B$41,MATCH(C11,Client_Master!$A$2:$A$41,0)),"UNKNOWN CLIENT")</f>
        <v>Meridian Textile Exports Pvt Ltd</v>
      </c>
      <c r="E11" s="32" t="s">
        <v>561</v>
      </c>
      <c r="F11" s="32" t="s">
        <v>562</v>
      </c>
      <c r="G11" s="32" t="s">
        <v>495</v>
      </c>
      <c r="H11" s="32" t="s">
        <v>498</v>
      </c>
      <c r="I11" s="34" t="n">
        <f aca="false">INDEX(Escalation_Matrix!$E$2:$E$4,MATCH(G11,Escalation_Matrix!$A$2:$A$4,0))</f>
        <v>3</v>
      </c>
      <c r="J11" s="35"/>
      <c r="K11" s="34" t="str">
        <f aca="false">IF(ISNUMBER(J11),"Closed","Open")</f>
        <v>Open</v>
      </c>
      <c r="L11" s="34" t="n">
        <f aca="false">NETWORKDAYS(B11,IF(ISNUMBER(J11),J11,Assumptions!$B$4))-1</f>
        <v>3</v>
      </c>
      <c r="M11" s="34" t="str">
        <f aca="false">IF(L11&gt;I11,"SLA Breached","Within SLA")</f>
        <v>Within SLA</v>
      </c>
      <c r="N11" s="34" t="str">
        <f aca="false">IFERROR(INDEX(Alert_Monitoring!$R$2:$R$41,MATCH(C11,Alert_Monitoring!$A$2:$A$41,0)),"N/A - not in CRM")</f>
        <v>No Action</v>
      </c>
      <c r="O11" s="32" t="s">
        <v>563</v>
      </c>
    </row>
  </sheetData>
  <autoFilter ref="A1:O11"/>
  <conditionalFormatting sqref="M2:M11">
    <cfRule type="expression" priority="2" aboveAverage="0" equalAverage="0" bottom="0" percent="0" rank="0" text="" dxfId="12">
      <formula>ISNUMBER(SEARCH("Breached",M2))</formula>
    </cfRule>
    <cfRule type="expression" priority="3" aboveAverage="0" equalAverage="0" bottom="0" percent="0" rank="0" text="" dxfId="11">
      <formula>ISNUMBER(SEARCH("Within",M2))</formula>
    </cfRule>
  </conditionalFormatting>
  <conditionalFormatting sqref="K2:K11">
    <cfRule type="expression" priority="4" aboveAverage="0" equalAverage="0" bottom="0" percent="0" rank="0" text="" dxfId="10">
      <formula>ISNUMBER(SEARCH("Open",K2))</formula>
    </cfRule>
  </conditionalFormatting>
  <conditionalFormatting sqref="N2:N11">
    <cfRule type="expression" priority="5" aboveAverage="0" equalAverage="0" bottom="0" percent="0" rank="0" text="" dxfId="12">
      <formula>ISNUMBER(SEARCH("ESCALATE",N2))</formula>
    </cfRule>
    <cfRule type="expression" priority="6" aboveAverage="0" equalAverage="0" bottom="0" percent="0" rank="0" text="" dxfId="10">
      <formula>ISNUMBER(SEARCH("Analyst",N2))</formula>
    </cfRule>
  </conditionalFormatting>
  <dataValidations count="1">
    <dataValidation allowBlank="false" errorStyle="stop" operator="between" showDropDown="false" showErrorMessage="false" showInputMessage="false" sqref="G2:G11" type="list">
      <formula1>Escalation_Matrix!$A$2:$A$4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42" hidden="false" customHeight="true" outlineLevel="0" collapsed="false">
      <c r="A1" s="25" t="s">
        <v>189</v>
      </c>
      <c r="B1" s="25" t="s">
        <v>564</v>
      </c>
      <c r="C1" s="25" t="s">
        <v>138</v>
      </c>
      <c r="D1" s="25" t="s">
        <v>144</v>
      </c>
      <c r="E1" s="25" t="s">
        <v>565</v>
      </c>
    </row>
    <row r="2" customFormat="false" ht="15" hidden="false" customHeight="false" outlineLevel="0" collapsed="false">
      <c r="A2" s="27" t="s">
        <v>216</v>
      </c>
      <c r="B2" s="27" t="s">
        <v>217</v>
      </c>
      <c r="C2" s="27" t="s">
        <v>155</v>
      </c>
      <c r="D2" s="27" t="s">
        <v>73</v>
      </c>
      <c r="E2" s="27" t="s">
        <v>566</v>
      </c>
    </row>
    <row r="3" customFormat="false" ht="15" hidden="false" customHeight="false" outlineLevel="0" collapsed="false">
      <c r="A3" s="27" t="s">
        <v>221</v>
      </c>
      <c r="B3" s="27" t="s">
        <v>222</v>
      </c>
      <c r="C3" s="27" t="s">
        <v>161</v>
      </c>
      <c r="D3" s="27" t="s">
        <v>73</v>
      </c>
      <c r="E3" s="27" t="s">
        <v>566</v>
      </c>
    </row>
    <row r="4" customFormat="false" ht="15" hidden="false" customHeight="false" outlineLevel="0" collapsed="false">
      <c r="A4" s="27" t="s">
        <v>223</v>
      </c>
      <c r="B4" s="27" t="s">
        <v>567</v>
      </c>
      <c r="C4" s="27" t="s">
        <v>155</v>
      </c>
      <c r="D4" s="27" t="s">
        <v>73</v>
      </c>
      <c r="E4" s="27" t="s">
        <v>566</v>
      </c>
    </row>
    <row r="5" customFormat="false" ht="15" hidden="false" customHeight="false" outlineLevel="0" collapsed="false">
      <c r="A5" s="27" t="s">
        <v>225</v>
      </c>
      <c r="B5" s="27" t="s">
        <v>226</v>
      </c>
      <c r="C5" s="27" t="s">
        <v>152</v>
      </c>
      <c r="D5" s="27" t="s">
        <v>73</v>
      </c>
      <c r="E5" s="27" t="s">
        <v>566</v>
      </c>
    </row>
    <row r="6" customFormat="false" ht="15" hidden="false" customHeight="false" outlineLevel="0" collapsed="false">
      <c r="A6" s="27" t="s">
        <v>227</v>
      </c>
      <c r="B6" s="27" t="s">
        <v>228</v>
      </c>
      <c r="C6" s="27" t="s">
        <v>148</v>
      </c>
      <c r="D6" s="27" t="s">
        <v>73</v>
      </c>
      <c r="E6" s="27" t="s">
        <v>566</v>
      </c>
    </row>
    <row r="7" customFormat="false" ht="15" hidden="false" customHeight="false" outlineLevel="0" collapsed="false">
      <c r="A7" s="27" t="s">
        <v>229</v>
      </c>
      <c r="B7" s="27" t="s">
        <v>230</v>
      </c>
      <c r="C7" s="27" t="s">
        <v>155</v>
      </c>
      <c r="D7" s="27" t="s">
        <v>73</v>
      </c>
      <c r="E7" s="27" t="s">
        <v>566</v>
      </c>
    </row>
    <row r="8" customFormat="false" ht="15" hidden="false" customHeight="false" outlineLevel="0" collapsed="false">
      <c r="A8" s="27" t="s">
        <v>231</v>
      </c>
      <c r="B8" s="27" t="s">
        <v>232</v>
      </c>
      <c r="C8" s="27" t="s">
        <v>163</v>
      </c>
      <c r="D8" s="27" t="s">
        <v>73</v>
      </c>
      <c r="E8" s="27" t="s">
        <v>566</v>
      </c>
    </row>
    <row r="9" customFormat="false" ht="15" hidden="false" customHeight="false" outlineLevel="0" collapsed="false">
      <c r="A9" s="27" t="s">
        <v>233</v>
      </c>
      <c r="B9" s="27" t="s">
        <v>234</v>
      </c>
      <c r="C9" s="27" t="s">
        <v>172</v>
      </c>
      <c r="D9" s="27" t="s">
        <v>73</v>
      </c>
      <c r="E9" s="27" t="s">
        <v>566</v>
      </c>
    </row>
    <row r="10" customFormat="false" ht="15" hidden="false" customHeight="false" outlineLevel="0" collapsed="false">
      <c r="A10" s="27" t="s">
        <v>235</v>
      </c>
      <c r="B10" s="27" t="s">
        <v>236</v>
      </c>
      <c r="C10" s="27" t="s">
        <v>158</v>
      </c>
      <c r="D10" s="27" t="s">
        <v>72</v>
      </c>
      <c r="E10" s="27" t="s">
        <v>566</v>
      </c>
    </row>
    <row r="11" customFormat="false" ht="15" hidden="false" customHeight="false" outlineLevel="0" collapsed="false">
      <c r="A11" s="27" t="s">
        <v>237</v>
      </c>
      <c r="B11" s="27" t="s">
        <v>238</v>
      </c>
      <c r="C11" s="27" t="s">
        <v>158</v>
      </c>
      <c r="D11" s="27" t="s">
        <v>72</v>
      </c>
      <c r="E11" s="27" t="s">
        <v>566</v>
      </c>
    </row>
    <row r="12" customFormat="false" ht="15" hidden="false" customHeight="false" outlineLevel="0" collapsed="false">
      <c r="A12" s="27" t="s">
        <v>239</v>
      </c>
      <c r="B12" s="27" t="s">
        <v>240</v>
      </c>
      <c r="C12" s="27" t="s">
        <v>181</v>
      </c>
      <c r="D12" s="27" t="s">
        <v>72</v>
      </c>
      <c r="E12" s="27" t="s">
        <v>566</v>
      </c>
    </row>
    <row r="13" customFormat="false" ht="15" hidden="false" customHeight="false" outlineLevel="0" collapsed="false">
      <c r="A13" s="27" t="s">
        <v>241</v>
      </c>
      <c r="B13" s="27" t="s">
        <v>242</v>
      </c>
      <c r="C13" s="27" t="s">
        <v>148</v>
      </c>
      <c r="D13" s="27" t="s">
        <v>73</v>
      </c>
      <c r="E13" s="27" t="s">
        <v>566</v>
      </c>
    </row>
    <row r="14" customFormat="false" ht="15" hidden="false" customHeight="false" outlineLevel="0" collapsed="false">
      <c r="A14" s="27" t="s">
        <v>243</v>
      </c>
      <c r="B14" s="27" t="s">
        <v>244</v>
      </c>
      <c r="C14" s="27" t="s">
        <v>165</v>
      </c>
      <c r="D14" s="27" t="s">
        <v>73</v>
      </c>
      <c r="E14" s="27" t="s">
        <v>568</v>
      </c>
    </row>
    <row r="15" customFormat="false" ht="15" hidden="false" customHeight="false" outlineLevel="0" collapsed="false">
      <c r="A15" s="27" t="s">
        <v>245</v>
      </c>
      <c r="B15" s="27" t="s">
        <v>246</v>
      </c>
      <c r="C15" s="27" t="s">
        <v>167</v>
      </c>
      <c r="D15" s="27" t="s">
        <v>72</v>
      </c>
      <c r="E15" s="27" t="s">
        <v>566</v>
      </c>
    </row>
    <row r="16" customFormat="false" ht="15" hidden="false" customHeight="false" outlineLevel="0" collapsed="false">
      <c r="A16" s="27" t="s">
        <v>247</v>
      </c>
      <c r="B16" s="27" t="s">
        <v>248</v>
      </c>
      <c r="C16" s="27" t="s">
        <v>152</v>
      </c>
      <c r="D16" s="27" t="s">
        <v>72</v>
      </c>
      <c r="E16" s="27" t="s">
        <v>566</v>
      </c>
    </row>
    <row r="17" customFormat="false" ht="15" hidden="false" customHeight="false" outlineLevel="0" collapsed="false">
      <c r="A17" s="27" t="s">
        <v>249</v>
      </c>
      <c r="B17" s="27" t="s">
        <v>250</v>
      </c>
      <c r="C17" s="27" t="s">
        <v>148</v>
      </c>
      <c r="D17" s="27" t="s">
        <v>73</v>
      </c>
      <c r="E17" s="27" t="s">
        <v>566</v>
      </c>
    </row>
    <row r="18" customFormat="false" ht="15" hidden="false" customHeight="false" outlineLevel="0" collapsed="false">
      <c r="A18" s="27" t="s">
        <v>251</v>
      </c>
      <c r="B18" s="27" t="s">
        <v>252</v>
      </c>
      <c r="C18" s="27" t="s">
        <v>155</v>
      </c>
      <c r="D18" s="27" t="s">
        <v>72</v>
      </c>
      <c r="E18" s="27" t="s">
        <v>566</v>
      </c>
    </row>
    <row r="19" customFormat="false" ht="15" hidden="false" customHeight="false" outlineLevel="0" collapsed="false">
      <c r="A19" s="27" t="s">
        <v>253</v>
      </c>
      <c r="B19" s="27" t="s">
        <v>254</v>
      </c>
      <c r="C19" s="27" t="s">
        <v>155</v>
      </c>
      <c r="D19" s="27" t="s">
        <v>73</v>
      </c>
      <c r="E19" s="27" t="s">
        <v>566</v>
      </c>
    </row>
    <row r="20" customFormat="false" ht="15" hidden="false" customHeight="false" outlineLevel="0" collapsed="false">
      <c r="A20" s="27" t="s">
        <v>255</v>
      </c>
      <c r="B20" s="27" t="s">
        <v>256</v>
      </c>
      <c r="C20" s="27" t="s">
        <v>148</v>
      </c>
      <c r="D20" s="27" t="s">
        <v>73</v>
      </c>
      <c r="E20" s="27" t="s">
        <v>566</v>
      </c>
    </row>
    <row r="21" customFormat="false" ht="15" hidden="false" customHeight="false" outlineLevel="0" collapsed="false">
      <c r="A21" s="27" t="s">
        <v>257</v>
      </c>
      <c r="B21" s="27" t="s">
        <v>258</v>
      </c>
      <c r="C21" s="27" t="s">
        <v>161</v>
      </c>
      <c r="D21" s="27" t="s">
        <v>73</v>
      </c>
      <c r="E21" s="27" t="s">
        <v>566</v>
      </c>
    </row>
    <row r="22" customFormat="false" ht="15" hidden="false" customHeight="false" outlineLevel="0" collapsed="false">
      <c r="A22" s="27" t="s">
        <v>259</v>
      </c>
      <c r="B22" s="27" t="s">
        <v>260</v>
      </c>
      <c r="C22" s="27" t="s">
        <v>158</v>
      </c>
      <c r="D22" s="27" t="s">
        <v>73</v>
      </c>
      <c r="E22" s="27" t="s">
        <v>566</v>
      </c>
    </row>
    <row r="23" customFormat="false" ht="15" hidden="false" customHeight="false" outlineLevel="0" collapsed="false">
      <c r="A23" s="27" t="s">
        <v>261</v>
      </c>
      <c r="B23" s="27" t="s">
        <v>262</v>
      </c>
      <c r="C23" s="27" t="s">
        <v>172</v>
      </c>
      <c r="D23" s="27" t="s">
        <v>72</v>
      </c>
      <c r="E23" s="27" t="s">
        <v>566</v>
      </c>
    </row>
    <row r="24" customFormat="false" ht="15" hidden="false" customHeight="false" outlineLevel="0" collapsed="false">
      <c r="A24" s="27" t="s">
        <v>263</v>
      </c>
      <c r="B24" s="27" t="s">
        <v>264</v>
      </c>
      <c r="C24" s="27" t="s">
        <v>152</v>
      </c>
      <c r="D24" s="27" t="s">
        <v>73</v>
      </c>
      <c r="E24" s="27" t="s">
        <v>566</v>
      </c>
    </row>
    <row r="25" customFormat="false" ht="15" hidden="false" customHeight="false" outlineLevel="0" collapsed="false">
      <c r="A25" s="27" t="s">
        <v>265</v>
      </c>
      <c r="B25" s="27" t="s">
        <v>266</v>
      </c>
      <c r="C25" s="27" t="s">
        <v>148</v>
      </c>
      <c r="D25" s="27" t="s">
        <v>73</v>
      </c>
      <c r="E25" s="27" t="s">
        <v>566</v>
      </c>
    </row>
    <row r="26" customFormat="false" ht="15" hidden="false" customHeight="false" outlineLevel="0" collapsed="false">
      <c r="A26" s="27" t="s">
        <v>267</v>
      </c>
      <c r="B26" s="27" t="s">
        <v>268</v>
      </c>
      <c r="C26" s="27" t="s">
        <v>183</v>
      </c>
      <c r="D26" s="27" t="s">
        <v>72</v>
      </c>
      <c r="E26" s="27" t="s">
        <v>566</v>
      </c>
    </row>
    <row r="27" customFormat="false" ht="15" hidden="false" customHeight="false" outlineLevel="0" collapsed="false">
      <c r="A27" s="27" t="s">
        <v>269</v>
      </c>
      <c r="B27" s="27" t="s">
        <v>270</v>
      </c>
      <c r="C27" s="27" t="s">
        <v>178</v>
      </c>
      <c r="D27" s="27" t="s">
        <v>72</v>
      </c>
      <c r="E27" s="27" t="s">
        <v>566</v>
      </c>
    </row>
    <row r="28" customFormat="false" ht="15" hidden="false" customHeight="false" outlineLevel="0" collapsed="false">
      <c r="A28" s="27" t="s">
        <v>271</v>
      </c>
      <c r="B28" s="27" t="s">
        <v>272</v>
      </c>
      <c r="C28" s="27" t="s">
        <v>169</v>
      </c>
      <c r="D28" s="27" t="s">
        <v>73</v>
      </c>
      <c r="E28" s="27" t="s">
        <v>566</v>
      </c>
    </row>
    <row r="29" customFormat="false" ht="15" hidden="false" customHeight="false" outlineLevel="0" collapsed="false">
      <c r="A29" s="27" t="s">
        <v>273</v>
      </c>
      <c r="B29" s="27" t="s">
        <v>274</v>
      </c>
      <c r="C29" s="27" t="s">
        <v>163</v>
      </c>
      <c r="D29" s="27" t="s">
        <v>73</v>
      </c>
      <c r="E29" s="27" t="s">
        <v>566</v>
      </c>
    </row>
    <row r="30" customFormat="false" ht="15" hidden="false" customHeight="false" outlineLevel="0" collapsed="false">
      <c r="A30" s="27" t="s">
        <v>275</v>
      </c>
      <c r="B30" s="27" t="s">
        <v>276</v>
      </c>
      <c r="C30" s="27" t="s">
        <v>163</v>
      </c>
      <c r="D30" s="27" t="s">
        <v>71</v>
      </c>
      <c r="E30" s="27" t="s">
        <v>566</v>
      </c>
    </row>
    <row r="31" customFormat="false" ht="15" hidden="false" customHeight="false" outlineLevel="0" collapsed="false">
      <c r="A31" s="27" t="s">
        <v>277</v>
      </c>
      <c r="B31" s="27" t="s">
        <v>278</v>
      </c>
      <c r="C31" s="27" t="s">
        <v>155</v>
      </c>
      <c r="D31" s="27" t="s">
        <v>73</v>
      </c>
      <c r="E31" s="27" t="s">
        <v>566</v>
      </c>
    </row>
    <row r="32" customFormat="false" ht="15" hidden="false" customHeight="false" outlineLevel="0" collapsed="false">
      <c r="A32" s="27" t="s">
        <v>279</v>
      </c>
      <c r="B32" s="27" t="s">
        <v>230</v>
      </c>
      <c r="C32" s="27" t="s">
        <v>155</v>
      </c>
      <c r="D32" s="27" t="s">
        <v>73</v>
      </c>
      <c r="E32" s="27" t="s">
        <v>566</v>
      </c>
    </row>
    <row r="33" customFormat="false" ht="15" hidden="false" customHeight="false" outlineLevel="0" collapsed="false">
      <c r="A33" s="27" t="s">
        <v>280</v>
      </c>
      <c r="B33" s="27" t="s">
        <v>281</v>
      </c>
      <c r="C33" s="27" t="s">
        <v>176</v>
      </c>
      <c r="D33" s="27" t="s">
        <v>73</v>
      </c>
      <c r="E33" s="27" t="s">
        <v>566</v>
      </c>
    </row>
    <row r="34" customFormat="false" ht="15" hidden="false" customHeight="false" outlineLevel="0" collapsed="false">
      <c r="A34" s="27" t="s">
        <v>282</v>
      </c>
      <c r="B34" s="27" t="s">
        <v>283</v>
      </c>
      <c r="C34" s="27" t="s">
        <v>167</v>
      </c>
      <c r="D34" s="27" t="s">
        <v>73</v>
      </c>
      <c r="E34" s="27" t="s">
        <v>566</v>
      </c>
    </row>
    <row r="35" customFormat="false" ht="15" hidden="false" customHeight="false" outlineLevel="0" collapsed="false">
      <c r="A35" s="27" t="s">
        <v>286</v>
      </c>
      <c r="B35" s="27" t="s">
        <v>287</v>
      </c>
      <c r="C35" s="27" t="s">
        <v>167</v>
      </c>
      <c r="D35" s="27" t="s">
        <v>73</v>
      </c>
      <c r="E35" s="27" t="s">
        <v>566</v>
      </c>
    </row>
    <row r="36" customFormat="false" ht="15" hidden="false" customHeight="false" outlineLevel="0" collapsed="false">
      <c r="A36" s="27" t="s">
        <v>288</v>
      </c>
      <c r="B36" s="27" t="s">
        <v>289</v>
      </c>
      <c r="C36" s="27" t="s">
        <v>174</v>
      </c>
      <c r="D36" s="27" t="s">
        <v>73</v>
      </c>
      <c r="E36" s="27" t="s">
        <v>566</v>
      </c>
    </row>
    <row r="37" customFormat="false" ht="15" hidden="false" customHeight="false" outlineLevel="0" collapsed="false">
      <c r="A37" s="27" t="s">
        <v>291</v>
      </c>
      <c r="B37" s="27" t="s">
        <v>292</v>
      </c>
      <c r="C37" s="27" t="s">
        <v>152</v>
      </c>
      <c r="D37" s="27" t="s">
        <v>73</v>
      </c>
      <c r="E37" s="27" t="s">
        <v>566</v>
      </c>
    </row>
    <row r="38" customFormat="false" ht="15" hidden="false" customHeight="false" outlineLevel="0" collapsed="false">
      <c r="A38" s="27" t="s">
        <v>293</v>
      </c>
      <c r="B38" s="27" t="s">
        <v>294</v>
      </c>
      <c r="C38" s="27" t="s">
        <v>155</v>
      </c>
      <c r="D38" s="27" t="s">
        <v>73</v>
      </c>
      <c r="E38" s="27" t="s">
        <v>566</v>
      </c>
    </row>
    <row r="39" customFormat="false" ht="15" hidden="false" customHeight="false" outlineLevel="0" collapsed="false">
      <c r="A39" s="27" t="s">
        <v>296</v>
      </c>
      <c r="B39" s="27" t="s">
        <v>297</v>
      </c>
      <c r="C39" s="27" t="s">
        <v>152</v>
      </c>
      <c r="D39" s="27" t="s">
        <v>73</v>
      </c>
      <c r="E39" s="27" t="s">
        <v>566</v>
      </c>
    </row>
    <row r="40" customFormat="false" ht="15" hidden="false" customHeight="false" outlineLevel="0" collapsed="false">
      <c r="A40" s="27" t="s">
        <v>298</v>
      </c>
      <c r="B40" s="27" t="s">
        <v>299</v>
      </c>
      <c r="C40" s="27" t="s">
        <v>155</v>
      </c>
      <c r="D40" s="27" t="s">
        <v>73</v>
      </c>
      <c r="E40" s="27" t="s">
        <v>568</v>
      </c>
    </row>
    <row r="41" customFormat="false" ht="15" hidden="false" customHeight="false" outlineLevel="0" collapsed="false">
      <c r="A41" s="27" t="s">
        <v>411</v>
      </c>
      <c r="B41" s="27" t="s">
        <v>569</v>
      </c>
      <c r="C41" s="27" t="s">
        <v>148</v>
      </c>
      <c r="D41" s="27" t="s">
        <v>73</v>
      </c>
      <c r="E41" s="27" t="s">
        <v>566</v>
      </c>
    </row>
  </sheetData>
  <autoFilter ref="A1:E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42" hidden="false" customHeight="true" outlineLevel="0" collapsed="false">
      <c r="A1" s="25" t="s">
        <v>570</v>
      </c>
      <c r="B1" s="25" t="s">
        <v>571</v>
      </c>
      <c r="C1" s="25" t="s">
        <v>303</v>
      </c>
    </row>
    <row r="2" customFormat="false" ht="15" hidden="false" customHeight="false" outlineLevel="0" collapsed="false">
      <c r="A2" s="27" t="s">
        <v>314</v>
      </c>
      <c r="B2" s="28" t="n">
        <v>46266</v>
      </c>
      <c r="C2" s="29" t="n">
        <v>17665</v>
      </c>
    </row>
    <row r="3" customFormat="false" ht="15" hidden="false" customHeight="false" outlineLevel="0" collapsed="false">
      <c r="A3" s="27" t="s">
        <v>317</v>
      </c>
      <c r="B3" s="28" t="n">
        <v>46266</v>
      </c>
      <c r="C3" s="29" t="n">
        <v>78700</v>
      </c>
    </row>
    <row r="4" customFormat="false" ht="15" hidden="false" customHeight="false" outlineLevel="0" collapsed="false">
      <c r="A4" s="27" t="s">
        <v>321</v>
      </c>
      <c r="B4" s="28" t="n">
        <v>46267</v>
      </c>
      <c r="C4" s="29" t="n">
        <v>54100</v>
      </c>
    </row>
    <row r="5" customFormat="false" ht="15" hidden="false" customHeight="false" outlineLevel="0" collapsed="false">
      <c r="A5" s="27" t="s">
        <v>322</v>
      </c>
      <c r="B5" s="28" t="n">
        <v>46267</v>
      </c>
      <c r="C5" s="29" t="n">
        <v>28500</v>
      </c>
    </row>
    <row r="6" customFormat="false" ht="15" hidden="false" customHeight="false" outlineLevel="0" collapsed="false">
      <c r="A6" s="27" t="s">
        <v>323</v>
      </c>
      <c r="B6" s="28" t="n">
        <v>46268</v>
      </c>
      <c r="C6" s="29" t="n">
        <v>44400</v>
      </c>
    </row>
    <row r="7" customFormat="false" ht="15" hidden="false" customHeight="false" outlineLevel="0" collapsed="false">
      <c r="A7" s="27" t="s">
        <v>324</v>
      </c>
      <c r="B7" s="28" t="n">
        <v>46268</v>
      </c>
      <c r="C7" s="29" t="n">
        <v>31900</v>
      </c>
    </row>
    <row r="8" customFormat="false" ht="15" hidden="false" customHeight="false" outlineLevel="0" collapsed="false">
      <c r="A8" s="27" t="s">
        <v>326</v>
      </c>
      <c r="B8" s="28" t="n">
        <v>46269</v>
      </c>
      <c r="C8" s="29" t="n">
        <v>66000</v>
      </c>
    </row>
    <row r="9" customFormat="false" ht="15" hidden="false" customHeight="false" outlineLevel="0" collapsed="false">
      <c r="A9" s="27" t="s">
        <v>327</v>
      </c>
      <c r="B9" s="28" t="n">
        <v>46269</v>
      </c>
      <c r="C9" s="29" t="n">
        <v>79700</v>
      </c>
    </row>
    <row r="10" customFormat="false" ht="15" hidden="false" customHeight="false" outlineLevel="0" collapsed="false">
      <c r="A10" s="27" t="s">
        <v>328</v>
      </c>
      <c r="B10" s="28" t="n">
        <v>46272</v>
      </c>
      <c r="C10" s="29" t="n">
        <v>80982</v>
      </c>
    </row>
    <row r="11" customFormat="false" ht="15" hidden="false" customHeight="false" outlineLevel="0" collapsed="false">
      <c r="A11" s="27" t="s">
        <v>329</v>
      </c>
      <c r="B11" s="28" t="n">
        <v>46272</v>
      </c>
      <c r="C11" s="29" t="n">
        <v>75900</v>
      </c>
    </row>
    <row r="12" customFormat="false" ht="15" hidden="false" customHeight="false" outlineLevel="0" collapsed="false">
      <c r="A12" s="27" t="s">
        <v>330</v>
      </c>
      <c r="B12" s="28" t="n">
        <v>46273</v>
      </c>
      <c r="C12" s="29" t="n">
        <v>59900</v>
      </c>
    </row>
    <row r="13" customFormat="false" ht="15" hidden="false" customHeight="false" outlineLevel="0" collapsed="false">
      <c r="A13" s="27" t="s">
        <v>330</v>
      </c>
      <c r="B13" s="28" t="n">
        <v>46273</v>
      </c>
      <c r="C13" s="29" t="n">
        <v>59900</v>
      </c>
    </row>
    <row r="14" customFormat="false" ht="15" hidden="false" customHeight="false" outlineLevel="0" collapsed="false">
      <c r="A14" s="27" t="s">
        <v>331</v>
      </c>
      <c r="B14" s="28" t="n">
        <v>46273</v>
      </c>
      <c r="C14" s="29" t="n">
        <v>3100</v>
      </c>
    </row>
    <row r="15" customFormat="false" ht="15" hidden="false" customHeight="false" outlineLevel="0" collapsed="false">
      <c r="A15" s="27" t="s">
        <v>334</v>
      </c>
      <c r="B15" s="28" t="n">
        <v>46274</v>
      </c>
      <c r="C15" s="29" t="n">
        <v>68500</v>
      </c>
    </row>
    <row r="16" customFormat="false" ht="15" hidden="false" customHeight="false" outlineLevel="0" collapsed="false">
      <c r="A16" s="27" t="s">
        <v>335</v>
      </c>
      <c r="B16" s="28" t="n">
        <v>46274</v>
      </c>
      <c r="C16" s="29" t="n">
        <v>2800</v>
      </c>
    </row>
    <row r="17" customFormat="false" ht="15" hidden="false" customHeight="false" outlineLevel="0" collapsed="false">
      <c r="A17" s="27" t="s">
        <v>337</v>
      </c>
      <c r="B17" s="28" t="n">
        <v>46274</v>
      </c>
      <c r="C17" s="29" t="n">
        <v>19600</v>
      </c>
    </row>
    <row r="18" customFormat="false" ht="15" hidden="false" customHeight="false" outlineLevel="0" collapsed="false">
      <c r="A18" s="27" t="s">
        <v>338</v>
      </c>
      <c r="B18" s="28" t="n">
        <v>46275</v>
      </c>
      <c r="C18" s="29" t="n">
        <v>30000</v>
      </c>
    </row>
    <row r="19" customFormat="false" ht="15" hidden="false" customHeight="false" outlineLevel="0" collapsed="false">
      <c r="A19" s="27" t="s">
        <v>340</v>
      </c>
      <c r="B19" s="28" t="n">
        <v>46275</v>
      </c>
      <c r="C19" s="29" t="n">
        <v>68900</v>
      </c>
    </row>
    <row r="20" customFormat="false" ht="15" hidden="false" customHeight="false" outlineLevel="0" collapsed="false">
      <c r="A20" s="27" t="s">
        <v>341</v>
      </c>
      <c r="B20" s="28" t="n">
        <v>46275</v>
      </c>
      <c r="C20" s="29" t="n">
        <v>57600</v>
      </c>
    </row>
    <row r="21" customFormat="false" ht="15" hidden="false" customHeight="false" outlineLevel="0" collapsed="false">
      <c r="A21" s="27" t="s">
        <v>342</v>
      </c>
      <c r="B21" s="28" t="n">
        <v>46276</v>
      </c>
      <c r="C21" s="29" t="n">
        <v>45200</v>
      </c>
    </row>
    <row r="22" customFormat="false" ht="15" hidden="false" customHeight="false" outlineLevel="0" collapsed="false">
      <c r="A22" s="27" t="s">
        <v>343</v>
      </c>
      <c r="B22" s="28" t="n">
        <v>46276</v>
      </c>
      <c r="C22" s="29" t="n">
        <v>48200</v>
      </c>
    </row>
    <row r="23" customFormat="false" ht="15" hidden="false" customHeight="false" outlineLevel="0" collapsed="false">
      <c r="A23" s="27" t="s">
        <v>344</v>
      </c>
      <c r="B23" s="28" t="n">
        <v>46276</v>
      </c>
      <c r="C23" s="29" t="n">
        <v>55700</v>
      </c>
    </row>
    <row r="24" customFormat="false" ht="15" hidden="false" customHeight="false" outlineLevel="0" collapsed="false">
      <c r="A24" s="27" t="s">
        <v>345</v>
      </c>
      <c r="B24" s="28" t="n">
        <v>46276</v>
      </c>
      <c r="C24" s="29" t="n">
        <v>89900</v>
      </c>
    </row>
    <row r="25" customFormat="false" ht="15" hidden="false" customHeight="false" outlineLevel="0" collapsed="false">
      <c r="A25" s="27" t="s">
        <v>346</v>
      </c>
      <c r="B25" s="28" t="n">
        <v>46279</v>
      </c>
      <c r="C25" s="29" t="n">
        <v>80200</v>
      </c>
    </row>
    <row r="26" customFormat="false" ht="15" hidden="false" customHeight="false" outlineLevel="0" collapsed="false">
      <c r="A26" s="27" t="s">
        <v>347</v>
      </c>
      <c r="B26" s="28" t="n">
        <v>46279</v>
      </c>
      <c r="C26" s="29" t="n">
        <v>3400</v>
      </c>
    </row>
    <row r="27" customFormat="false" ht="15" hidden="false" customHeight="false" outlineLevel="0" collapsed="false">
      <c r="A27" s="27" t="s">
        <v>349</v>
      </c>
      <c r="B27" s="28" t="n">
        <v>46279</v>
      </c>
      <c r="C27" s="29" t="n">
        <v>37000</v>
      </c>
    </row>
    <row r="28" customFormat="false" ht="15" hidden="false" customHeight="false" outlineLevel="0" collapsed="false">
      <c r="A28" s="27" t="s">
        <v>350</v>
      </c>
      <c r="B28" s="28" t="n">
        <v>46280</v>
      </c>
      <c r="C28" s="29" t="n">
        <v>30000</v>
      </c>
    </row>
    <row r="29" customFormat="false" ht="15" hidden="false" customHeight="false" outlineLevel="0" collapsed="false">
      <c r="A29" s="27" t="s">
        <v>352</v>
      </c>
      <c r="B29" s="28" t="n">
        <v>46280</v>
      </c>
      <c r="C29" s="29" t="n">
        <v>18100</v>
      </c>
    </row>
    <row r="30" customFormat="false" ht="15" hidden="false" customHeight="false" outlineLevel="0" collapsed="false">
      <c r="A30" s="27" t="s">
        <v>353</v>
      </c>
      <c r="B30" s="28" t="n">
        <v>46281</v>
      </c>
      <c r="C30" s="29" t="n">
        <v>4200</v>
      </c>
    </row>
    <row r="31" customFormat="false" ht="15" hidden="false" customHeight="false" outlineLevel="0" collapsed="false">
      <c r="A31" s="27" t="s">
        <v>354</v>
      </c>
      <c r="B31" s="28" t="n">
        <v>46283</v>
      </c>
      <c r="C31" s="29" t="n">
        <v>58000</v>
      </c>
    </row>
    <row r="32" customFormat="false" ht="15" hidden="false" customHeight="false" outlineLevel="0" collapsed="false">
      <c r="A32" s="27" t="s">
        <v>355</v>
      </c>
      <c r="B32" s="28" t="n">
        <v>46283</v>
      </c>
      <c r="C32" s="29" t="n">
        <v>18600</v>
      </c>
    </row>
    <row r="33" customFormat="false" ht="15" hidden="false" customHeight="false" outlineLevel="0" collapsed="false">
      <c r="A33" s="27" t="s">
        <v>356</v>
      </c>
      <c r="B33" s="28" t="n">
        <v>46286</v>
      </c>
      <c r="C33" s="29" t="n">
        <v>20600</v>
      </c>
    </row>
    <row r="34" customFormat="false" ht="15" hidden="false" customHeight="false" outlineLevel="0" collapsed="false">
      <c r="A34" s="27" t="s">
        <v>357</v>
      </c>
      <c r="B34" s="28" t="n">
        <v>46286</v>
      </c>
      <c r="C34" s="29" t="n">
        <v>3600</v>
      </c>
    </row>
    <row r="35" customFormat="false" ht="15" hidden="false" customHeight="false" outlineLevel="0" collapsed="false">
      <c r="A35" s="27" t="s">
        <v>358</v>
      </c>
      <c r="B35" s="28" t="n">
        <v>46287</v>
      </c>
      <c r="C35" s="29" t="n">
        <v>4000</v>
      </c>
    </row>
    <row r="36" customFormat="false" ht="15" hidden="false" customHeight="false" outlineLevel="0" collapsed="false">
      <c r="A36" s="27" t="s">
        <v>359</v>
      </c>
      <c r="B36" s="28" t="n">
        <v>46287</v>
      </c>
      <c r="C36" s="29" t="n">
        <v>10000</v>
      </c>
    </row>
    <row r="37" customFormat="false" ht="15" hidden="false" customHeight="false" outlineLevel="0" collapsed="false">
      <c r="A37" s="27" t="s">
        <v>360</v>
      </c>
      <c r="B37" s="28" t="n">
        <v>46288</v>
      </c>
      <c r="C37" s="29" t="n">
        <v>61900</v>
      </c>
    </row>
    <row r="38" customFormat="false" ht="15" hidden="false" customHeight="false" outlineLevel="0" collapsed="false">
      <c r="A38" s="27" t="s">
        <v>361</v>
      </c>
      <c r="B38" s="28" t="n">
        <v>46288</v>
      </c>
      <c r="C38" s="29" t="n">
        <v>47300</v>
      </c>
    </row>
    <row r="39" customFormat="false" ht="15" hidden="false" customHeight="false" outlineLevel="0" collapsed="false">
      <c r="A39" s="27" t="s">
        <v>362</v>
      </c>
      <c r="B39" s="28" t="n">
        <v>46289</v>
      </c>
      <c r="C39" s="29" t="n">
        <v>28000</v>
      </c>
    </row>
    <row r="40" customFormat="false" ht="15" hidden="false" customHeight="false" outlineLevel="0" collapsed="false">
      <c r="A40" s="27" t="s">
        <v>363</v>
      </c>
      <c r="B40" s="28" t="n">
        <v>46289</v>
      </c>
      <c r="C40" s="29" t="n">
        <v>50300</v>
      </c>
    </row>
    <row r="41" customFormat="false" ht="15" hidden="false" customHeight="false" outlineLevel="0" collapsed="false">
      <c r="A41" s="27" t="s">
        <v>364</v>
      </c>
      <c r="B41" s="28" t="n">
        <v>46289</v>
      </c>
      <c r="C41" s="29" t="n">
        <v>77100</v>
      </c>
    </row>
    <row r="42" customFormat="false" ht="15" hidden="false" customHeight="false" outlineLevel="0" collapsed="false">
      <c r="A42" s="27" t="s">
        <v>365</v>
      </c>
      <c r="B42" s="28" t="n">
        <v>46290</v>
      </c>
      <c r="C42" s="29" t="n">
        <v>120000</v>
      </c>
    </row>
    <row r="43" customFormat="false" ht="15" hidden="false" customHeight="false" outlineLevel="0" collapsed="false">
      <c r="A43" s="27" t="s">
        <v>366</v>
      </c>
      <c r="B43" s="28" t="n">
        <v>46293</v>
      </c>
      <c r="C43" s="29" t="n">
        <v>4100</v>
      </c>
    </row>
    <row r="44" customFormat="false" ht="15" hidden="false" customHeight="false" outlineLevel="0" collapsed="false">
      <c r="A44" s="27" t="s">
        <v>367</v>
      </c>
      <c r="B44" s="28" t="n">
        <v>46293</v>
      </c>
      <c r="C44" s="29" t="n">
        <v>32700</v>
      </c>
    </row>
    <row r="45" customFormat="false" ht="15" hidden="false" customHeight="false" outlineLevel="0" collapsed="false">
      <c r="A45" s="27" t="s">
        <v>368</v>
      </c>
      <c r="B45" s="28" t="n">
        <v>46293</v>
      </c>
      <c r="C45" s="29" t="n">
        <v>13000</v>
      </c>
    </row>
    <row r="46" customFormat="false" ht="15" hidden="false" customHeight="false" outlineLevel="0" collapsed="false">
      <c r="A46" s="27" t="s">
        <v>369</v>
      </c>
      <c r="B46" s="28" t="n">
        <v>46293</v>
      </c>
      <c r="C46" s="29" t="n">
        <v>32100</v>
      </c>
    </row>
    <row r="47" customFormat="false" ht="15" hidden="false" customHeight="false" outlineLevel="0" collapsed="false">
      <c r="A47" s="27" t="s">
        <v>370</v>
      </c>
      <c r="B47" s="28" t="n">
        <v>46293</v>
      </c>
      <c r="C47" s="29" t="n">
        <v>51500</v>
      </c>
    </row>
    <row r="48" customFormat="false" ht="15" hidden="false" customHeight="false" outlineLevel="0" collapsed="false">
      <c r="A48" s="27" t="s">
        <v>371</v>
      </c>
      <c r="B48" s="28" t="n">
        <v>46294</v>
      </c>
      <c r="C48" s="29" t="n">
        <v>27200</v>
      </c>
    </row>
    <row r="49" customFormat="false" ht="15" hidden="false" customHeight="false" outlineLevel="0" collapsed="false">
      <c r="A49" s="27" t="s">
        <v>372</v>
      </c>
      <c r="B49" s="28" t="n">
        <v>46294</v>
      </c>
      <c r="C49" s="29" t="n">
        <v>45000</v>
      </c>
    </row>
    <row r="50" customFormat="false" ht="15" hidden="false" customHeight="false" outlineLevel="0" collapsed="false">
      <c r="A50" s="27" t="s">
        <v>374</v>
      </c>
      <c r="B50" s="28" t="n">
        <v>46294</v>
      </c>
      <c r="C50" s="29" t="n">
        <v>60900</v>
      </c>
    </row>
    <row r="51" customFormat="false" ht="15" hidden="false" customHeight="false" outlineLevel="0" collapsed="false">
      <c r="A51" s="27" t="s">
        <v>375</v>
      </c>
      <c r="B51" s="28" t="n">
        <v>46295</v>
      </c>
      <c r="C51" s="29" t="n">
        <v>5200</v>
      </c>
    </row>
    <row r="52" customFormat="false" ht="15" hidden="false" customHeight="false" outlineLevel="0" collapsed="false">
      <c r="A52" s="27" t="s">
        <v>376</v>
      </c>
      <c r="B52" s="28" t="n">
        <v>46295</v>
      </c>
      <c r="C52" s="29" t="n">
        <v>66800</v>
      </c>
    </row>
    <row r="53" customFormat="false" ht="15" hidden="false" customHeight="false" outlineLevel="0" collapsed="false">
      <c r="A53" s="27" t="s">
        <v>377</v>
      </c>
      <c r="B53" s="28" t="n">
        <v>46295</v>
      </c>
      <c r="C53" s="29" t="n">
        <v>36900</v>
      </c>
    </row>
    <row r="54" customFormat="false" ht="15" hidden="false" customHeight="false" outlineLevel="0" collapsed="false">
      <c r="A54" s="27" t="s">
        <v>378</v>
      </c>
      <c r="B54" s="28" t="n">
        <v>46296</v>
      </c>
      <c r="C54" s="29" t="n">
        <v>5400</v>
      </c>
    </row>
    <row r="55" customFormat="false" ht="15" hidden="false" customHeight="false" outlineLevel="0" collapsed="false">
      <c r="A55" s="27" t="s">
        <v>379</v>
      </c>
      <c r="B55" s="28" t="n">
        <v>46296</v>
      </c>
      <c r="C55" s="29" t="n">
        <v>150000</v>
      </c>
    </row>
    <row r="56" customFormat="false" ht="15" hidden="false" customHeight="false" outlineLevel="0" collapsed="false">
      <c r="A56" s="27" t="s">
        <v>381</v>
      </c>
      <c r="B56" s="28" t="n">
        <v>46296</v>
      </c>
      <c r="C56" s="29" t="n">
        <v>14300</v>
      </c>
    </row>
    <row r="57" customFormat="false" ht="15" hidden="false" customHeight="false" outlineLevel="0" collapsed="false">
      <c r="A57" s="27" t="s">
        <v>382</v>
      </c>
      <c r="B57" s="28" t="n">
        <v>46296</v>
      </c>
      <c r="C57" s="29" t="n">
        <v>59900</v>
      </c>
    </row>
    <row r="58" customFormat="false" ht="15" hidden="false" customHeight="false" outlineLevel="0" collapsed="false">
      <c r="A58" s="27" t="s">
        <v>383</v>
      </c>
      <c r="B58" s="28" t="n">
        <v>46296</v>
      </c>
      <c r="C58" s="29" t="n">
        <v>72600</v>
      </c>
    </row>
    <row r="59" customFormat="false" ht="15" hidden="false" customHeight="false" outlineLevel="0" collapsed="false">
      <c r="A59" s="27" t="s">
        <v>384</v>
      </c>
      <c r="B59" s="28" t="n">
        <v>46297</v>
      </c>
      <c r="C59" s="29" t="n">
        <v>250000</v>
      </c>
    </row>
    <row r="60" customFormat="false" ht="15" hidden="false" customHeight="false" outlineLevel="0" collapsed="false">
      <c r="A60" s="27" t="s">
        <v>385</v>
      </c>
      <c r="B60" s="28" t="n">
        <v>46297</v>
      </c>
      <c r="C60" s="29" t="n">
        <v>38100</v>
      </c>
    </row>
    <row r="61" customFormat="false" ht="15" hidden="false" customHeight="false" outlineLevel="0" collapsed="false">
      <c r="A61" s="27" t="s">
        <v>386</v>
      </c>
      <c r="B61" s="28" t="n">
        <v>46297</v>
      </c>
      <c r="C61" s="29" t="n">
        <v>52700</v>
      </c>
    </row>
    <row r="62" customFormat="false" ht="15" hidden="false" customHeight="false" outlineLevel="0" collapsed="false">
      <c r="A62" s="27" t="s">
        <v>387</v>
      </c>
      <c r="B62" s="28" t="n">
        <v>46300</v>
      </c>
      <c r="C62" s="29" t="n">
        <v>6200</v>
      </c>
    </row>
    <row r="63" customFormat="false" ht="15" hidden="false" customHeight="false" outlineLevel="0" collapsed="false">
      <c r="A63" s="27" t="s">
        <v>389</v>
      </c>
      <c r="B63" s="28" t="n">
        <v>46300</v>
      </c>
      <c r="C63" s="29" t="n">
        <v>5100</v>
      </c>
    </row>
    <row r="64" customFormat="false" ht="15" hidden="false" customHeight="false" outlineLevel="0" collapsed="false">
      <c r="A64" s="27" t="s">
        <v>391</v>
      </c>
      <c r="B64" s="28" t="n">
        <v>46300</v>
      </c>
      <c r="C64" s="29" t="n">
        <v>20900</v>
      </c>
    </row>
    <row r="65" customFormat="false" ht="15" hidden="false" customHeight="false" outlineLevel="0" collapsed="false">
      <c r="A65" s="27" t="s">
        <v>392</v>
      </c>
      <c r="B65" s="28" t="n">
        <v>46300</v>
      </c>
      <c r="C65" s="29" t="n">
        <v>246500</v>
      </c>
    </row>
    <row r="66" customFormat="false" ht="15" hidden="false" customHeight="false" outlineLevel="0" collapsed="false">
      <c r="A66" s="27" t="s">
        <v>393</v>
      </c>
      <c r="B66" s="28" t="n">
        <v>46300</v>
      </c>
      <c r="C66" s="29" t="n">
        <v>25300</v>
      </c>
    </row>
    <row r="67" customFormat="false" ht="15" hidden="false" customHeight="false" outlineLevel="0" collapsed="false">
      <c r="A67" s="27" t="s">
        <v>394</v>
      </c>
      <c r="B67" s="28" t="n">
        <v>46301</v>
      </c>
      <c r="C67" s="29" t="n">
        <v>76800</v>
      </c>
    </row>
    <row r="68" customFormat="false" ht="15" hidden="false" customHeight="false" outlineLevel="0" collapsed="false">
      <c r="A68" s="27" t="s">
        <v>395</v>
      </c>
      <c r="B68" s="28" t="n">
        <v>46301</v>
      </c>
      <c r="C68" s="29" t="n">
        <v>21600</v>
      </c>
    </row>
    <row r="69" customFormat="false" ht="15" hidden="false" customHeight="false" outlineLevel="0" collapsed="false">
      <c r="A69" s="27" t="s">
        <v>396</v>
      </c>
      <c r="B69" s="28" t="n">
        <v>46301</v>
      </c>
      <c r="C69" s="29" t="n">
        <v>60000</v>
      </c>
    </row>
    <row r="70" customFormat="false" ht="15" hidden="false" customHeight="false" outlineLevel="0" collapsed="false">
      <c r="A70" s="27" t="s">
        <v>397</v>
      </c>
      <c r="B70" s="28" t="n">
        <v>46302</v>
      </c>
      <c r="C70" s="29" t="n">
        <v>9900</v>
      </c>
    </row>
    <row r="71" customFormat="false" ht="15" hidden="false" customHeight="false" outlineLevel="0" collapsed="false">
      <c r="A71" s="27" t="s">
        <v>398</v>
      </c>
      <c r="B71" s="28" t="n">
        <v>46302</v>
      </c>
      <c r="C71" s="29" t="n">
        <v>6100</v>
      </c>
    </row>
    <row r="72" customFormat="false" ht="15" hidden="false" customHeight="false" outlineLevel="0" collapsed="false">
      <c r="A72" s="27" t="s">
        <v>399</v>
      </c>
      <c r="B72" s="28" t="n">
        <v>46302</v>
      </c>
      <c r="C72" s="29" t="n">
        <v>86500</v>
      </c>
    </row>
    <row r="73" customFormat="false" ht="15" hidden="false" customHeight="false" outlineLevel="0" collapsed="false">
      <c r="A73" s="27" t="s">
        <v>400</v>
      </c>
      <c r="B73" s="28" t="n">
        <v>46302</v>
      </c>
      <c r="C73" s="29" t="n">
        <v>35000</v>
      </c>
    </row>
    <row r="74" customFormat="false" ht="15" hidden="false" customHeight="false" outlineLevel="0" collapsed="false">
      <c r="A74" s="27" t="s">
        <v>402</v>
      </c>
      <c r="B74" s="28" t="n">
        <v>46303</v>
      </c>
      <c r="C74" s="29" t="n">
        <v>30000</v>
      </c>
    </row>
    <row r="75" customFormat="false" ht="15" hidden="false" customHeight="false" outlineLevel="0" collapsed="false">
      <c r="A75" s="27" t="s">
        <v>403</v>
      </c>
      <c r="B75" s="28" t="n">
        <v>46303</v>
      </c>
      <c r="C75" s="29" t="n">
        <v>75700</v>
      </c>
    </row>
    <row r="76" customFormat="false" ht="15" hidden="false" customHeight="false" outlineLevel="0" collapsed="false">
      <c r="A76" s="27" t="s">
        <v>404</v>
      </c>
      <c r="B76" s="28" t="n">
        <v>46303</v>
      </c>
      <c r="C76" s="29" t="n">
        <v>27000</v>
      </c>
    </row>
    <row r="77" customFormat="false" ht="15" hidden="false" customHeight="false" outlineLevel="0" collapsed="false">
      <c r="A77" s="27" t="s">
        <v>405</v>
      </c>
      <c r="B77" s="28" t="n">
        <v>46303</v>
      </c>
      <c r="C77" s="29" t="n">
        <v>90000</v>
      </c>
    </row>
    <row r="78" customFormat="false" ht="15" hidden="false" customHeight="false" outlineLevel="0" collapsed="false">
      <c r="A78" s="27" t="s">
        <v>407</v>
      </c>
      <c r="B78" s="28" t="n">
        <v>46304</v>
      </c>
      <c r="C78" s="29" t="n">
        <v>87200</v>
      </c>
    </row>
    <row r="79" customFormat="false" ht="15" hidden="false" customHeight="false" outlineLevel="0" collapsed="false">
      <c r="A79" s="27" t="s">
        <v>408</v>
      </c>
      <c r="B79" s="28" t="n">
        <v>46304</v>
      </c>
      <c r="C79" s="29" t="n">
        <v>12800</v>
      </c>
    </row>
    <row r="80" customFormat="false" ht="15" hidden="false" customHeight="false" outlineLevel="0" collapsed="false">
      <c r="A80" s="27" t="s">
        <v>409</v>
      </c>
      <c r="B80" s="28" t="n">
        <v>46304</v>
      </c>
      <c r="C80" s="29" t="n">
        <v>49800</v>
      </c>
    </row>
    <row r="81" customFormat="false" ht="15" hidden="false" customHeight="false" outlineLevel="0" collapsed="false">
      <c r="A81" s="27" t="s">
        <v>410</v>
      </c>
      <c r="B81" s="28" t="n">
        <v>46304</v>
      </c>
      <c r="C81" s="29" t="n">
        <v>7800</v>
      </c>
    </row>
    <row r="82" customFormat="false" ht="15" hidden="false" customHeight="false" outlineLevel="0" collapsed="false">
      <c r="A82" s="27" t="s">
        <v>412</v>
      </c>
      <c r="B82" s="28" t="n">
        <v>46307</v>
      </c>
      <c r="C82" s="29" t="n">
        <v>65700</v>
      </c>
    </row>
    <row r="83" customFormat="false" ht="15" hidden="false" customHeight="false" outlineLevel="0" collapsed="false">
      <c r="A83" s="27" t="s">
        <v>413</v>
      </c>
      <c r="B83" s="28" t="n">
        <v>46307</v>
      </c>
      <c r="C83" s="29" t="n">
        <v>42300</v>
      </c>
    </row>
    <row r="84" customFormat="false" ht="15" hidden="false" customHeight="false" outlineLevel="0" collapsed="false">
      <c r="A84" s="27" t="s">
        <v>414</v>
      </c>
      <c r="B84" s="28" t="n">
        <v>46307</v>
      </c>
      <c r="C84" s="29" t="n">
        <v>18100</v>
      </c>
    </row>
    <row r="85" customFormat="false" ht="15" hidden="false" customHeight="false" outlineLevel="0" collapsed="false">
      <c r="A85" s="27" t="s">
        <v>415</v>
      </c>
      <c r="B85" s="28" t="n">
        <v>46307</v>
      </c>
      <c r="C85" s="29" t="n">
        <v>32700</v>
      </c>
    </row>
    <row r="86" customFormat="false" ht="15" hidden="false" customHeight="false" outlineLevel="0" collapsed="false">
      <c r="A86" s="27" t="s">
        <v>416</v>
      </c>
      <c r="B86" s="28" t="n">
        <v>46307</v>
      </c>
      <c r="C86" s="29" t="n">
        <v>9500</v>
      </c>
    </row>
    <row r="87" customFormat="false" ht="15" hidden="false" customHeight="false" outlineLevel="0" collapsed="false">
      <c r="A87" s="27" t="s">
        <v>417</v>
      </c>
      <c r="B87" s="28" t="n">
        <v>46307</v>
      </c>
      <c r="C87" s="29" t="n">
        <v>81200</v>
      </c>
    </row>
    <row r="88" customFormat="false" ht="15" hidden="false" customHeight="false" outlineLevel="0" collapsed="false">
      <c r="A88" s="27" t="s">
        <v>418</v>
      </c>
      <c r="B88" s="28" t="n">
        <v>46308</v>
      </c>
      <c r="C88" s="29" t="n">
        <v>16000</v>
      </c>
    </row>
    <row r="89" customFormat="false" ht="15" hidden="false" customHeight="false" outlineLevel="0" collapsed="false">
      <c r="A89" s="27" t="s">
        <v>419</v>
      </c>
      <c r="B89" s="28" t="n">
        <v>46308</v>
      </c>
      <c r="C89" s="29" t="n">
        <v>9800</v>
      </c>
    </row>
    <row r="90" customFormat="false" ht="15" hidden="false" customHeight="false" outlineLevel="0" collapsed="false">
      <c r="A90" s="27" t="s">
        <v>420</v>
      </c>
      <c r="B90" s="28" t="n">
        <v>46308</v>
      </c>
      <c r="C90" s="29" t="n">
        <v>5400</v>
      </c>
    </row>
    <row r="91" customFormat="false" ht="15" hidden="false" customHeight="false" outlineLevel="0" collapsed="false">
      <c r="A91" s="27" t="s">
        <v>421</v>
      </c>
      <c r="B91" s="28" t="n">
        <v>46309</v>
      </c>
      <c r="C91" s="29" t="n">
        <v>48500</v>
      </c>
    </row>
    <row r="92" customFormat="false" ht="15" hidden="false" customHeight="false" outlineLevel="0" collapsed="false">
      <c r="A92" s="27" t="s">
        <v>422</v>
      </c>
      <c r="B92" s="28" t="n">
        <v>46309</v>
      </c>
      <c r="C92" s="29" t="n">
        <v>28000</v>
      </c>
    </row>
    <row r="93" customFormat="false" ht="15" hidden="false" customHeight="false" outlineLevel="0" collapsed="false">
      <c r="A93" s="27" t="s">
        <v>424</v>
      </c>
      <c r="B93" s="28" t="n">
        <v>46309</v>
      </c>
      <c r="C93" s="29" t="n">
        <v>52000</v>
      </c>
    </row>
    <row r="94" customFormat="false" ht="15" hidden="false" customHeight="false" outlineLevel="0" collapsed="false">
      <c r="A94" s="27" t="s">
        <v>426</v>
      </c>
      <c r="B94" s="28" t="n">
        <v>46310</v>
      </c>
      <c r="C94" s="29" t="n">
        <v>53900</v>
      </c>
    </row>
    <row r="95" customFormat="false" ht="15" hidden="false" customHeight="false" outlineLevel="0" collapsed="false">
      <c r="A95" s="27" t="s">
        <v>427</v>
      </c>
      <c r="B95" s="28" t="n">
        <v>46310</v>
      </c>
      <c r="C95" s="29" t="n">
        <v>73400</v>
      </c>
    </row>
    <row r="96" customFormat="false" ht="15" hidden="false" customHeight="false" outlineLevel="0" collapsed="false">
      <c r="A96" s="27" t="s">
        <v>428</v>
      </c>
      <c r="B96" s="28" t="n">
        <v>46310</v>
      </c>
      <c r="C96" s="29" t="n">
        <v>9200</v>
      </c>
    </row>
    <row r="97" customFormat="false" ht="15" hidden="false" customHeight="false" outlineLevel="0" collapsed="false">
      <c r="A97" s="27" t="s">
        <v>429</v>
      </c>
      <c r="B97" s="28" t="n">
        <v>46310</v>
      </c>
      <c r="C97" s="29" t="n">
        <v>28500</v>
      </c>
    </row>
    <row r="98" customFormat="false" ht="15" hidden="false" customHeight="false" outlineLevel="0" collapsed="false">
      <c r="A98" s="27" t="s">
        <v>430</v>
      </c>
      <c r="B98" s="28" t="n">
        <v>46310</v>
      </c>
      <c r="C98" s="29" t="n">
        <v>83800</v>
      </c>
    </row>
    <row r="99" customFormat="false" ht="15" hidden="false" customHeight="false" outlineLevel="0" collapsed="false">
      <c r="A99" s="27" t="s">
        <v>431</v>
      </c>
      <c r="B99" s="28" t="n">
        <v>46310</v>
      </c>
      <c r="C99" s="29" t="n">
        <v>40000</v>
      </c>
    </row>
    <row r="100" customFormat="false" ht="15" hidden="false" customHeight="false" outlineLevel="0" collapsed="false">
      <c r="A100" s="27" t="s">
        <v>433</v>
      </c>
      <c r="B100" s="28" t="n">
        <v>46311</v>
      </c>
      <c r="C100" s="29" t="n">
        <v>35600</v>
      </c>
    </row>
    <row r="101" customFormat="false" ht="15" hidden="false" customHeight="false" outlineLevel="0" collapsed="false">
      <c r="A101" s="27" t="s">
        <v>434</v>
      </c>
      <c r="B101" s="28" t="n">
        <v>46311</v>
      </c>
      <c r="C101" s="29" t="n">
        <v>9700</v>
      </c>
    </row>
    <row r="102" customFormat="false" ht="15" hidden="false" customHeight="false" outlineLevel="0" collapsed="false">
      <c r="A102" s="27" t="s">
        <v>435</v>
      </c>
      <c r="B102" s="28" t="n">
        <v>46314</v>
      </c>
      <c r="C102" s="29" t="n">
        <v>86700</v>
      </c>
    </row>
    <row r="103" customFormat="false" ht="15" hidden="false" customHeight="false" outlineLevel="0" collapsed="false">
      <c r="A103" s="27" t="s">
        <v>436</v>
      </c>
      <c r="B103" s="28" t="n">
        <v>46314</v>
      </c>
      <c r="C103" s="29" t="n">
        <v>21800</v>
      </c>
    </row>
    <row r="104" customFormat="false" ht="15" hidden="false" customHeight="false" outlineLevel="0" collapsed="false">
      <c r="A104" s="27" t="s">
        <v>437</v>
      </c>
      <c r="B104" s="28" t="n">
        <v>46314</v>
      </c>
      <c r="C104" s="29" t="n">
        <v>80600</v>
      </c>
    </row>
    <row r="105" customFormat="false" ht="15" hidden="false" customHeight="false" outlineLevel="0" collapsed="false">
      <c r="A105" s="27" t="s">
        <v>438</v>
      </c>
      <c r="B105" s="28" t="n">
        <v>46315</v>
      </c>
      <c r="C105" s="29" t="n">
        <v>14500</v>
      </c>
    </row>
    <row r="106" customFormat="false" ht="15" hidden="false" customHeight="false" outlineLevel="0" collapsed="false">
      <c r="A106" s="27" t="s">
        <v>440</v>
      </c>
      <c r="B106" s="28" t="n">
        <v>46315</v>
      </c>
      <c r="C106" s="29" t="n">
        <v>53400</v>
      </c>
    </row>
    <row r="107" customFormat="false" ht="15" hidden="false" customHeight="false" outlineLevel="0" collapsed="false">
      <c r="A107" s="27" t="s">
        <v>441</v>
      </c>
      <c r="B107" s="28" t="n">
        <v>46315</v>
      </c>
      <c r="C107" s="29" t="n">
        <v>13600</v>
      </c>
    </row>
    <row r="108" customFormat="false" ht="15" hidden="false" customHeight="false" outlineLevel="0" collapsed="false">
      <c r="A108" s="27" t="s">
        <v>442</v>
      </c>
      <c r="B108" s="28" t="n">
        <v>46316</v>
      </c>
      <c r="C108" s="29" t="n">
        <v>31800</v>
      </c>
    </row>
    <row r="109" customFormat="false" ht="15" hidden="false" customHeight="false" outlineLevel="0" collapsed="false">
      <c r="A109" s="27" t="s">
        <v>443</v>
      </c>
      <c r="B109" s="28" t="n">
        <v>46317</v>
      </c>
      <c r="C109" s="29" t="n">
        <v>56900</v>
      </c>
    </row>
    <row r="110" customFormat="false" ht="15" hidden="false" customHeight="false" outlineLevel="0" collapsed="false">
      <c r="A110" s="27" t="s">
        <v>444</v>
      </c>
      <c r="B110" s="28" t="n">
        <v>46317</v>
      </c>
      <c r="C110" s="29" t="n">
        <v>76400</v>
      </c>
    </row>
    <row r="111" customFormat="false" ht="15" hidden="false" customHeight="false" outlineLevel="0" collapsed="false">
      <c r="A111" s="27" t="s">
        <v>445</v>
      </c>
      <c r="B111" s="28" t="n">
        <v>46318</v>
      </c>
      <c r="C111" s="29" t="n">
        <v>12200</v>
      </c>
    </row>
    <row r="112" customFormat="false" ht="15" hidden="false" customHeight="false" outlineLevel="0" collapsed="false">
      <c r="A112" s="27" t="s">
        <v>446</v>
      </c>
      <c r="B112" s="28" t="n">
        <v>46318</v>
      </c>
      <c r="C112" s="29" t="n">
        <v>62700</v>
      </c>
    </row>
    <row r="113" customFormat="false" ht="15" hidden="false" customHeight="false" outlineLevel="0" collapsed="false">
      <c r="A113" s="27" t="s">
        <v>447</v>
      </c>
      <c r="B113" s="28" t="n">
        <v>46318</v>
      </c>
      <c r="C113" s="29" t="n">
        <v>41200</v>
      </c>
    </row>
    <row r="114" customFormat="false" ht="15" hidden="false" customHeight="false" outlineLevel="0" collapsed="false">
      <c r="A114" s="27" t="s">
        <v>572</v>
      </c>
      <c r="B114" s="28" t="n">
        <v>46316</v>
      </c>
      <c r="C114" s="29" t="n">
        <v>3200</v>
      </c>
    </row>
  </sheetData>
  <autoFilter ref="A1:C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12"/>
    <col collapsed="false" customWidth="true" hidden="false" outlineLevel="0" max="13" min="12" style="0" width="22"/>
    <col collapsed="false" customWidth="true" hidden="false" outlineLevel="0" max="14" min="14" style="0" width="32"/>
  </cols>
  <sheetData>
    <row r="1" customFormat="false" ht="42" hidden="false" customHeight="true" outlineLevel="0" collapsed="false">
      <c r="A1" s="25" t="s">
        <v>189</v>
      </c>
      <c r="B1" s="26" t="s">
        <v>573</v>
      </c>
      <c r="C1" s="26" t="s">
        <v>574</v>
      </c>
      <c r="D1" s="26" t="s">
        <v>575</v>
      </c>
      <c r="E1" s="26" t="s">
        <v>576</v>
      </c>
      <c r="F1" s="26" t="s">
        <v>577</v>
      </c>
      <c r="G1" s="26" t="s">
        <v>578</v>
      </c>
      <c r="H1" s="26" t="s">
        <v>579</v>
      </c>
      <c r="I1" s="26" t="s">
        <v>580</v>
      </c>
      <c r="J1" s="26" t="s">
        <v>208</v>
      </c>
      <c r="K1" s="26" t="s">
        <v>581</v>
      </c>
      <c r="L1" s="26" t="s">
        <v>582</v>
      </c>
      <c r="M1" s="26" t="s">
        <v>583</v>
      </c>
      <c r="N1" s="26" t="s">
        <v>584</v>
      </c>
    </row>
    <row r="2" customFormat="false" ht="15" hidden="false" customHeight="false" outlineLevel="0" collapsed="false">
      <c r="A2" s="27" t="s">
        <v>216</v>
      </c>
      <c r="B2" s="27" t="str">
        <f aca="false">IFERROR(INDEX(Client_Master!$B$2:$B$41,MATCH(A2,Client_Master!$A$2:$A$41,0)),"")</f>
        <v>Aurora Software Solutions Pvt Ltd</v>
      </c>
      <c r="C2" s="27" t="str">
        <f aca="false">IFERROR(INDEX(Src_CoreBanking!$B$2:$B$41,MATCH(A2,Src_CoreBanking!$A$2:$A$41,0)),"")</f>
        <v>Aurora Software Solutions Pvt Ltd</v>
      </c>
      <c r="D2" s="27" t="str">
        <f aca="false">IF(B2="","Missing in CRM",IF(C2="","Missing in Core",IF(TRIM(UPPER(B2))=TRIM(UPPER(C2)),"Match","Break")))</f>
        <v>Match</v>
      </c>
      <c r="E2" s="27" t="str">
        <f aca="false">IFERROR(INDEX(Client_Master!$D$2:$D$41,MATCH(A2,Client_Master!$A$2:$A$41,0)),"")</f>
        <v>India</v>
      </c>
      <c r="F2" s="27" t="str">
        <f aca="false">IFERROR(INDEX(Src_CoreBanking!$C$2:$C$41,MATCH(A2,Src_CoreBanking!$A$2:$A$41,0)),"")</f>
        <v>India</v>
      </c>
      <c r="G2" s="27" t="str">
        <f aca="false">IF(OR(E2="",F2=""),"n/a",IF(E2=F2,"Match","Break"))</f>
        <v>Match</v>
      </c>
      <c r="H2" s="27" t="str">
        <f aca="false">IFERROR(INDEX(Client_Master!$H$2:$H$41,MATCH(A2,Client_Master!$A$2:$A$41,0)),"")</f>
        <v>Low</v>
      </c>
      <c r="I2" s="27" t="str">
        <f aca="false">IFERROR(INDEX(Src_CoreBanking!$D$2:$D$41,MATCH(A2,Src_CoreBanking!$A$2:$A$41,0)),"")</f>
        <v>Low</v>
      </c>
      <c r="J2" s="27" t="str">
        <f aca="false">IF(OR(H2="",I2=""),"n/a",IF(H2=I2,"Match","Break"))</f>
        <v>Match</v>
      </c>
      <c r="K2" s="27" t="str">
        <f aca="false">IFERROR(INDEX(Src_CoreBanking!$E$2:$E$41,MATCH(A2,Src_CoreBanking!$A$2:$A$41,0)),"")</f>
        <v>Active</v>
      </c>
      <c r="L2" s="27" t="str">
        <f aca="false">IFERROR(INDEX(Client_Master!$R$2:$R$41,MATCH(A2,Client_Master!$A$2:$A$41,0)),"")</f>
        <v>Complete</v>
      </c>
      <c r="M2" s="27" t="str">
        <f aca="false">IF(OR(D2="Missing in CRM",D2="Missing in Core"),D2,IF(AND(D2="Match",G2="Match",J2="Match"),"Reconciled",TRIM("Break: "&amp;IF(D2&lt;&gt;"Match","Name ","")&amp;IF(G2&lt;&gt;"Match","Country ","")&amp;IF(J2&lt;&gt;"Match","Rating",""))))</f>
        <v>Reconciled</v>
      </c>
      <c r="N2" s="27" t="str">
        <f aca="false">IF(AND(K2="Active",L2&lt;&gt;"",L2&lt;&gt;"Complete"),"Active account - KYC incomplete",IF(AND(K2="Active",L2=""),"Active account - no KYC record",""))</f>
        <v/>
      </c>
    </row>
    <row r="3" customFormat="false" ht="15" hidden="false" customHeight="false" outlineLevel="0" collapsed="false">
      <c r="A3" s="27" t="s">
        <v>221</v>
      </c>
      <c r="B3" s="27" t="str">
        <f aca="false">IFERROR(INDEX(Client_Master!$B$2:$B$41,MATCH(A3,Client_Master!$A$2:$A$41,0)),"")</f>
        <v>Nordic Precision Manufacturing GmbH</v>
      </c>
      <c r="C3" s="27" t="str">
        <f aca="false">IFERROR(INDEX(Src_CoreBanking!$B$2:$B$41,MATCH(A3,Src_CoreBanking!$A$2:$A$41,0)),"")</f>
        <v>Nordic Precision Manufacturing GmbH</v>
      </c>
      <c r="D3" s="27" t="str">
        <f aca="false">IF(B3="","Missing in CRM",IF(C3="","Missing in Core",IF(TRIM(UPPER(B3))=TRIM(UPPER(C3)),"Match","Break")))</f>
        <v>Match</v>
      </c>
      <c r="E3" s="27" t="str">
        <f aca="false">IFERROR(INDEX(Client_Master!$D$2:$D$41,MATCH(A3,Client_Master!$A$2:$A$41,0)),"")</f>
        <v>Germany</v>
      </c>
      <c r="F3" s="27" t="str">
        <f aca="false">IFERROR(INDEX(Src_CoreBanking!$C$2:$C$41,MATCH(A3,Src_CoreBanking!$A$2:$A$41,0)),"")</f>
        <v>Germany</v>
      </c>
      <c r="G3" s="27" t="str">
        <f aca="false">IF(OR(E3="",F3=""),"n/a",IF(E3=F3,"Match","Break"))</f>
        <v>Match</v>
      </c>
      <c r="H3" s="27" t="str">
        <f aca="false">IFERROR(INDEX(Client_Master!$H$2:$H$41,MATCH(A3,Client_Master!$A$2:$A$41,0)),"")</f>
        <v>Low</v>
      </c>
      <c r="I3" s="27" t="str">
        <f aca="false">IFERROR(INDEX(Src_CoreBanking!$D$2:$D$41,MATCH(A3,Src_CoreBanking!$A$2:$A$41,0)),"")</f>
        <v>Low</v>
      </c>
      <c r="J3" s="27" t="str">
        <f aca="false">IF(OR(H3="",I3=""),"n/a",IF(H3=I3,"Match","Break"))</f>
        <v>Match</v>
      </c>
      <c r="K3" s="27" t="str">
        <f aca="false">IFERROR(INDEX(Src_CoreBanking!$E$2:$E$41,MATCH(A3,Src_CoreBanking!$A$2:$A$41,0)),"")</f>
        <v>Active</v>
      </c>
      <c r="L3" s="27" t="str">
        <f aca="false">IFERROR(INDEX(Client_Master!$R$2:$R$41,MATCH(A3,Client_Master!$A$2:$A$41,0)),"")</f>
        <v>Complete</v>
      </c>
      <c r="M3" s="27" t="str">
        <f aca="false">IF(OR(D3="Missing in CRM",D3="Missing in Core"),D3,IF(AND(D3="Match",G3="Match",J3="Match"),"Reconciled",TRIM("Break: "&amp;IF(D3&lt;&gt;"Match","Name ","")&amp;IF(G3&lt;&gt;"Match","Country ","")&amp;IF(J3&lt;&gt;"Match","Rating",""))))</f>
        <v>Reconciled</v>
      </c>
      <c r="N3" s="27" t="str">
        <f aca="false">IF(AND(K3="Active",L3&lt;&gt;"",L3&lt;&gt;"Complete"),"Active account - KYC incomplete",IF(AND(K3="Active",L3=""),"Active account - no KYC record",""))</f>
        <v/>
      </c>
    </row>
    <row r="4" customFormat="false" ht="15" hidden="false" customHeight="false" outlineLevel="0" collapsed="false">
      <c r="A4" s="27" t="s">
        <v>223</v>
      </c>
      <c r="B4" s="27" t="str">
        <f aca="false">IFERROR(INDEX(Client_Master!$B$2:$B$41,MATCH(A4,Client_Master!$A$2:$A$41,0)),"")</f>
        <v>Lotus Healthcare Systems Ltd</v>
      </c>
      <c r="C4" s="27" t="str">
        <f aca="false">IFERROR(INDEX(Src_CoreBanking!$B$2:$B$41,MATCH(A4,Src_CoreBanking!$A$2:$A$41,0)),"")</f>
        <v>Lotus Healthcare Systems Limited</v>
      </c>
      <c r="D4" s="27" t="str">
        <f aca="false">IF(B4="","Missing in CRM",IF(C4="","Missing in Core",IF(TRIM(UPPER(B4))=TRIM(UPPER(C4)),"Match","Break")))</f>
        <v>Break</v>
      </c>
      <c r="E4" s="27" t="str">
        <f aca="false">IFERROR(INDEX(Client_Master!$D$2:$D$41,MATCH(A4,Client_Master!$A$2:$A$41,0)),"")</f>
        <v>India</v>
      </c>
      <c r="F4" s="27" t="str">
        <f aca="false">IFERROR(INDEX(Src_CoreBanking!$C$2:$C$41,MATCH(A4,Src_CoreBanking!$A$2:$A$41,0)),"")</f>
        <v>India</v>
      </c>
      <c r="G4" s="27" t="str">
        <f aca="false">IF(OR(E4="",F4=""),"n/a",IF(E4=F4,"Match","Break"))</f>
        <v>Match</v>
      </c>
      <c r="H4" s="27" t="str">
        <f aca="false">IFERROR(INDEX(Client_Master!$H$2:$H$41,MATCH(A4,Client_Master!$A$2:$A$41,0)),"")</f>
        <v>Low</v>
      </c>
      <c r="I4" s="27" t="str">
        <f aca="false">IFERROR(INDEX(Src_CoreBanking!$D$2:$D$41,MATCH(A4,Src_CoreBanking!$A$2:$A$41,0)),"")</f>
        <v>Low</v>
      </c>
      <c r="J4" s="27" t="str">
        <f aca="false">IF(OR(H4="",I4=""),"n/a",IF(H4=I4,"Match","Break"))</f>
        <v>Match</v>
      </c>
      <c r="K4" s="27" t="str">
        <f aca="false">IFERROR(INDEX(Src_CoreBanking!$E$2:$E$41,MATCH(A4,Src_CoreBanking!$A$2:$A$41,0)),"")</f>
        <v>Active</v>
      </c>
      <c r="L4" s="27" t="str">
        <f aca="false">IFERROR(INDEX(Client_Master!$R$2:$R$41,MATCH(A4,Client_Master!$A$2:$A$41,0)),"")</f>
        <v>Complete</v>
      </c>
      <c r="M4" s="27" t="str">
        <f aca="false">IF(OR(D4="Missing in CRM",D4="Missing in Core"),D4,IF(AND(D4="Match",G4="Match",J4="Match"),"Reconciled",TRIM("Break: "&amp;IF(D4&lt;&gt;"Match","Name ","")&amp;IF(G4&lt;&gt;"Match","Country ","")&amp;IF(J4&lt;&gt;"Match","Rating",""))))</f>
        <v>Break: Name</v>
      </c>
      <c r="N4" s="27" t="str">
        <f aca="false">IF(AND(K4="Active",L4&lt;&gt;"",L4&lt;&gt;"Complete"),"Active account - KYC incomplete",IF(AND(K4="Active",L4=""),"Active account - no KYC record",""))</f>
        <v/>
      </c>
    </row>
    <row r="5" customFormat="false" ht="15" hidden="false" customHeight="false" outlineLevel="0" collapsed="false">
      <c r="A5" s="27" t="s">
        <v>225</v>
      </c>
      <c r="B5" s="27" t="str">
        <f aca="false">IFERROR(INDEX(Client_Master!$B$2:$B$41,MATCH(A5,Client_Master!$A$2:$A$41,0)),"")</f>
        <v>Thames Consulting Partners LLP</v>
      </c>
      <c r="C5" s="27" t="str">
        <f aca="false">IFERROR(INDEX(Src_CoreBanking!$B$2:$B$41,MATCH(A5,Src_CoreBanking!$A$2:$A$41,0)),"")</f>
        <v>Thames Consulting Partners LLP</v>
      </c>
      <c r="D5" s="27" t="str">
        <f aca="false">IF(B5="","Missing in CRM",IF(C5="","Missing in Core",IF(TRIM(UPPER(B5))=TRIM(UPPER(C5)),"Match","Break")))</f>
        <v>Match</v>
      </c>
      <c r="E5" s="27" t="str">
        <f aca="false">IFERROR(INDEX(Client_Master!$D$2:$D$41,MATCH(A5,Client_Master!$A$2:$A$41,0)),"")</f>
        <v>United Kingdom</v>
      </c>
      <c r="F5" s="27" t="str">
        <f aca="false">IFERROR(INDEX(Src_CoreBanking!$C$2:$C$41,MATCH(A5,Src_CoreBanking!$A$2:$A$41,0)),"")</f>
        <v>United Kingdom</v>
      </c>
      <c r="G5" s="27" t="str">
        <f aca="false">IF(OR(E5="",F5=""),"n/a",IF(E5=F5,"Match","Break"))</f>
        <v>Match</v>
      </c>
      <c r="H5" s="27" t="str">
        <f aca="false">IFERROR(INDEX(Client_Master!$H$2:$H$41,MATCH(A5,Client_Master!$A$2:$A$41,0)),"")</f>
        <v>Low</v>
      </c>
      <c r="I5" s="27" t="str">
        <f aca="false">IFERROR(INDEX(Src_CoreBanking!$D$2:$D$41,MATCH(A5,Src_CoreBanking!$A$2:$A$41,0)),"")</f>
        <v>Low</v>
      </c>
      <c r="J5" s="27" t="str">
        <f aca="false">IF(OR(H5="",I5=""),"n/a",IF(H5=I5,"Match","Break"))</f>
        <v>Match</v>
      </c>
      <c r="K5" s="27" t="str">
        <f aca="false">IFERROR(INDEX(Src_CoreBanking!$E$2:$E$41,MATCH(A5,Src_CoreBanking!$A$2:$A$41,0)),"")</f>
        <v>Active</v>
      </c>
      <c r="L5" s="27" t="str">
        <f aca="false">IFERROR(INDEX(Client_Master!$R$2:$R$41,MATCH(A5,Client_Master!$A$2:$A$41,0)),"")</f>
        <v>Complete</v>
      </c>
      <c r="M5" s="27" t="str">
        <f aca="false">IF(OR(D5="Missing in CRM",D5="Missing in Core"),D5,IF(AND(D5="Match",G5="Match",J5="Match"),"Reconciled",TRIM("Break: "&amp;IF(D5&lt;&gt;"Match","Name ","")&amp;IF(G5&lt;&gt;"Match","Country ","")&amp;IF(J5&lt;&gt;"Match","Rating",""))))</f>
        <v>Reconciled</v>
      </c>
      <c r="N5" s="27" t="str">
        <f aca="false">IF(AND(K5="Active",L5&lt;&gt;"",L5&lt;&gt;"Complete"),"Active account - KYC incomplete",IF(AND(K5="Active",L5=""),"Active account - no KYC record",""))</f>
        <v/>
      </c>
    </row>
    <row r="6" customFormat="false" ht="15" hidden="false" customHeight="false" outlineLevel="0" collapsed="false">
      <c r="A6" s="27" t="s">
        <v>227</v>
      </c>
      <c r="B6" s="27" t="str">
        <f aca="false">IFERROR(INDEX(Client_Master!$B$2:$B$41,MATCH(A6,Client_Master!$A$2:$A$41,0)),"")</f>
        <v>Spice Route Restaurants Group Inc</v>
      </c>
      <c r="C6" s="27" t="str">
        <f aca="false">IFERROR(INDEX(Src_CoreBanking!$B$2:$B$41,MATCH(A6,Src_CoreBanking!$A$2:$A$41,0)),"")</f>
        <v>Spice Route Restaurants Group Inc</v>
      </c>
      <c r="D6" s="27" t="str">
        <f aca="false">IF(B6="","Missing in CRM",IF(C6="","Missing in Core",IF(TRIM(UPPER(B6))=TRIM(UPPER(C6)),"Match","Break")))</f>
        <v>Match</v>
      </c>
      <c r="E6" s="27" t="str">
        <f aca="false">IFERROR(INDEX(Client_Master!$D$2:$D$41,MATCH(A6,Client_Master!$A$2:$A$41,0)),"")</f>
        <v>United States</v>
      </c>
      <c r="F6" s="27" t="str">
        <f aca="false">IFERROR(INDEX(Src_CoreBanking!$C$2:$C$41,MATCH(A6,Src_CoreBanking!$A$2:$A$41,0)),"")</f>
        <v>United States</v>
      </c>
      <c r="G6" s="27" t="str">
        <f aca="false">IF(OR(E6="",F6=""),"n/a",IF(E6=F6,"Match","Break"))</f>
        <v>Match</v>
      </c>
      <c r="H6" s="27" t="str">
        <f aca="false">IFERROR(INDEX(Client_Master!$H$2:$H$41,MATCH(A6,Client_Master!$A$2:$A$41,0)),"")</f>
        <v>Low</v>
      </c>
      <c r="I6" s="27" t="str">
        <f aca="false">IFERROR(INDEX(Src_CoreBanking!$D$2:$D$41,MATCH(A6,Src_CoreBanking!$A$2:$A$41,0)),"")</f>
        <v>Low</v>
      </c>
      <c r="J6" s="27" t="str">
        <f aca="false">IF(OR(H6="",I6=""),"n/a",IF(H6=I6,"Match","Break"))</f>
        <v>Match</v>
      </c>
      <c r="K6" s="27" t="str">
        <f aca="false">IFERROR(INDEX(Src_CoreBanking!$E$2:$E$41,MATCH(A6,Src_CoreBanking!$A$2:$A$41,0)),"")</f>
        <v>Active</v>
      </c>
      <c r="L6" s="27" t="str">
        <f aca="false">IFERROR(INDEX(Client_Master!$R$2:$R$41,MATCH(A6,Client_Master!$A$2:$A$41,0)),"")</f>
        <v>Complete</v>
      </c>
      <c r="M6" s="27" t="str">
        <f aca="false">IF(OR(D6="Missing in CRM",D6="Missing in Core"),D6,IF(AND(D6="Match",G6="Match",J6="Match"),"Reconciled",TRIM("Break: "&amp;IF(D6&lt;&gt;"Match","Name ","")&amp;IF(G6&lt;&gt;"Match","Country ","")&amp;IF(J6&lt;&gt;"Match","Rating",""))))</f>
        <v>Reconciled</v>
      </c>
      <c r="N6" s="27" t="str">
        <f aca="false">IF(AND(K6="Active",L6&lt;&gt;"",L6&lt;&gt;"Complete"),"Active account - KYC incomplete",IF(AND(K6="Active",L6=""),"Active account - no KYC record",""))</f>
        <v/>
      </c>
    </row>
    <row r="7" customFormat="false" ht="15" hidden="false" customHeight="false" outlineLevel="0" collapsed="false">
      <c r="A7" s="27" t="s">
        <v>229</v>
      </c>
      <c r="B7" s="27" t="str">
        <f aca="false">IFERROR(INDEX(Client_Master!$B$2:$B$41,MATCH(A7,Client_Master!$A$2:$A$41,0)),"")</f>
        <v>Meridian Textile Exports Pvt Ltd</v>
      </c>
      <c r="C7" s="27" t="str">
        <f aca="false">IFERROR(INDEX(Src_CoreBanking!$B$2:$B$41,MATCH(A7,Src_CoreBanking!$A$2:$A$41,0)),"")</f>
        <v>Meridian Textile Exports Pvt Ltd</v>
      </c>
      <c r="D7" s="27" t="str">
        <f aca="false">IF(B7="","Missing in CRM",IF(C7="","Missing in Core",IF(TRIM(UPPER(B7))=TRIM(UPPER(C7)),"Match","Break")))</f>
        <v>Match</v>
      </c>
      <c r="E7" s="27" t="str">
        <f aca="false">IFERROR(INDEX(Client_Master!$D$2:$D$41,MATCH(A7,Client_Master!$A$2:$A$41,0)),"")</f>
        <v>India</v>
      </c>
      <c r="F7" s="27" t="str">
        <f aca="false">IFERROR(INDEX(Src_CoreBanking!$C$2:$C$41,MATCH(A7,Src_CoreBanking!$A$2:$A$41,0)),"")</f>
        <v>India</v>
      </c>
      <c r="G7" s="27" t="str">
        <f aca="false">IF(OR(E7="",F7=""),"n/a",IF(E7=F7,"Match","Break"))</f>
        <v>Match</v>
      </c>
      <c r="H7" s="27" t="str">
        <f aca="false">IFERROR(INDEX(Client_Master!$H$2:$H$41,MATCH(A7,Client_Master!$A$2:$A$41,0)),"")</f>
        <v>Low</v>
      </c>
      <c r="I7" s="27" t="str">
        <f aca="false">IFERROR(INDEX(Src_CoreBanking!$D$2:$D$41,MATCH(A7,Src_CoreBanking!$A$2:$A$41,0)),"")</f>
        <v>Low</v>
      </c>
      <c r="J7" s="27" t="str">
        <f aca="false">IF(OR(H7="",I7=""),"n/a",IF(H7=I7,"Match","Break"))</f>
        <v>Match</v>
      </c>
      <c r="K7" s="27" t="str">
        <f aca="false">IFERROR(INDEX(Src_CoreBanking!$E$2:$E$41,MATCH(A7,Src_CoreBanking!$A$2:$A$41,0)),"")</f>
        <v>Active</v>
      </c>
      <c r="L7" s="27" t="str">
        <f aca="false">IFERROR(INDEX(Client_Master!$R$2:$R$41,MATCH(A7,Client_Master!$A$2:$A$41,0)),"")</f>
        <v>Complete</v>
      </c>
      <c r="M7" s="27" t="str">
        <f aca="false">IF(OR(D7="Missing in CRM",D7="Missing in Core"),D7,IF(AND(D7="Match",G7="Match",J7="Match"),"Reconciled",TRIM("Break: "&amp;IF(D7&lt;&gt;"Match","Name ","")&amp;IF(G7&lt;&gt;"Match","Country ","")&amp;IF(J7&lt;&gt;"Match","Rating",""))))</f>
        <v>Reconciled</v>
      </c>
      <c r="N7" s="27" t="str">
        <f aca="false">IF(AND(K7="Active",L7&lt;&gt;"",L7&lt;&gt;"Complete"),"Active account - KYC incomplete",IF(AND(K7="Active",L7=""),"Active account - no KYC record",""))</f>
        <v/>
      </c>
    </row>
    <row r="8" customFormat="false" ht="15" hidden="false" customHeight="false" outlineLevel="0" collapsed="false">
      <c r="A8" s="27" t="s">
        <v>231</v>
      </c>
      <c r="B8" s="27" t="str">
        <f aca="false">IFERROR(INDEX(Client_Master!$B$2:$B$41,MATCH(A8,Client_Master!$A$2:$A$41,0)),"")</f>
        <v>Alpine Logistics AG</v>
      </c>
      <c r="C8" s="27" t="str">
        <f aca="false">IFERROR(INDEX(Src_CoreBanking!$B$2:$B$41,MATCH(A8,Src_CoreBanking!$A$2:$A$41,0)),"")</f>
        <v>Alpine Logistics AG</v>
      </c>
      <c r="D8" s="27" t="str">
        <f aca="false">IF(B8="","Missing in CRM",IF(C8="","Missing in Core",IF(TRIM(UPPER(B8))=TRIM(UPPER(C8)),"Match","Break")))</f>
        <v>Match</v>
      </c>
      <c r="E8" s="27" t="str">
        <f aca="false">IFERROR(INDEX(Client_Master!$D$2:$D$41,MATCH(A8,Client_Master!$A$2:$A$41,0)),"")</f>
        <v>Switzerland</v>
      </c>
      <c r="F8" s="27" t="str">
        <f aca="false">IFERROR(INDEX(Src_CoreBanking!$C$2:$C$41,MATCH(A8,Src_CoreBanking!$A$2:$A$41,0)),"")</f>
        <v>Switzerland</v>
      </c>
      <c r="G8" s="27" t="str">
        <f aca="false">IF(OR(E8="",F8=""),"n/a",IF(E8=F8,"Match","Break"))</f>
        <v>Match</v>
      </c>
      <c r="H8" s="27" t="str">
        <f aca="false">IFERROR(INDEX(Client_Master!$H$2:$H$41,MATCH(A8,Client_Master!$A$2:$A$41,0)),"")</f>
        <v>Low</v>
      </c>
      <c r="I8" s="27" t="str">
        <f aca="false">IFERROR(INDEX(Src_CoreBanking!$D$2:$D$41,MATCH(A8,Src_CoreBanking!$A$2:$A$41,0)),"")</f>
        <v>Low</v>
      </c>
      <c r="J8" s="27" t="str">
        <f aca="false">IF(OR(H8="",I8=""),"n/a",IF(H8=I8,"Match","Break"))</f>
        <v>Match</v>
      </c>
      <c r="K8" s="27" t="str">
        <f aca="false">IFERROR(INDEX(Src_CoreBanking!$E$2:$E$41,MATCH(A8,Src_CoreBanking!$A$2:$A$41,0)),"")</f>
        <v>Active</v>
      </c>
      <c r="L8" s="27" t="str">
        <f aca="false">IFERROR(INDEX(Client_Master!$R$2:$R$41,MATCH(A8,Client_Master!$A$2:$A$41,0)),"")</f>
        <v>Complete</v>
      </c>
      <c r="M8" s="27" t="str">
        <f aca="false">IF(OR(D8="Missing in CRM",D8="Missing in Core"),D8,IF(AND(D8="Match",G8="Match",J8="Match"),"Reconciled",TRIM("Break: "&amp;IF(D8&lt;&gt;"Match","Name ","")&amp;IF(G8&lt;&gt;"Match","Country ","")&amp;IF(J8&lt;&gt;"Match","Rating",""))))</f>
        <v>Reconciled</v>
      </c>
      <c r="N8" s="27" t="str">
        <f aca="false">IF(AND(K8="Active",L8&lt;&gt;"",L8&lt;&gt;"Complete"),"Active account - KYC incomplete",IF(AND(K8="Active",L8=""),"Active account - no KYC record",""))</f>
        <v/>
      </c>
    </row>
    <row r="9" customFormat="false" ht="15" hidden="false" customHeight="false" outlineLevel="0" collapsed="false">
      <c r="A9" s="27" t="s">
        <v>233</v>
      </c>
      <c r="B9" s="27" t="str">
        <f aca="false">IFERROR(INDEX(Client_Master!$B$2:$B$41,MATCH(A9,Client_Master!$A$2:$A$41,0)),"")</f>
        <v>Golden Crest Jewellers LLC</v>
      </c>
      <c r="C9" s="27" t="str">
        <f aca="false">IFERROR(INDEX(Src_CoreBanking!$B$2:$B$41,MATCH(A9,Src_CoreBanking!$A$2:$A$41,0)),"")</f>
        <v>Golden Crest Jewellers LLC</v>
      </c>
      <c r="D9" s="27" t="str">
        <f aca="false">IF(B9="","Missing in CRM",IF(C9="","Missing in Core",IF(TRIM(UPPER(B9))=TRIM(UPPER(C9)),"Match","Break")))</f>
        <v>Match</v>
      </c>
      <c r="E9" s="27" t="str">
        <f aca="false">IFERROR(INDEX(Client_Master!$D$2:$D$41,MATCH(A9,Client_Master!$A$2:$A$41,0)),"")</f>
        <v>United Arab Emirates</v>
      </c>
      <c r="F9" s="27" t="str">
        <f aca="false">IFERROR(INDEX(Src_CoreBanking!$C$2:$C$41,MATCH(A9,Src_CoreBanking!$A$2:$A$41,0)),"")</f>
        <v>United Arab Emirates</v>
      </c>
      <c r="G9" s="27" t="str">
        <f aca="false">IF(OR(E9="",F9=""),"n/a",IF(E9=F9,"Match","Break"))</f>
        <v>Match</v>
      </c>
      <c r="H9" s="27" t="str">
        <f aca="false">IFERROR(INDEX(Client_Master!$H$2:$H$41,MATCH(A9,Client_Master!$A$2:$A$41,0)),"")</f>
        <v>Low</v>
      </c>
      <c r="I9" s="27" t="str">
        <f aca="false">IFERROR(INDEX(Src_CoreBanking!$D$2:$D$41,MATCH(A9,Src_CoreBanking!$A$2:$A$41,0)),"")</f>
        <v>Low</v>
      </c>
      <c r="J9" s="27" t="str">
        <f aca="false">IF(OR(H9="",I9=""),"n/a",IF(H9=I9,"Match","Break"))</f>
        <v>Match</v>
      </c>
      <c r="K9" s="27" t="str">
        <f aca="false">IFERROR(INDEX(Src_CoreBanking!$E$2:$E$41,MATCH(A9,Src_CoreBanking!$A$2:$A$41,0)),"")</f>
        <v>Active</v>
      </c>
      <c r="L9" s="27" t="str">
        <f aca="false">IFERROR(INDEX(Client_Master!$R$2:$R$41,MATCH(A9,Client_Master!$A$2:$A$41,0)),"")</f>
        <v>Complete</v>
      </c>
      <c r="M9" s="27" t="str">
        <f aca="false">IF(OR(D9="Missing in CRM",D9="Missing in Core"),D9,IF(AND(D9="Match",G9="Match",J9="Match"),"Reconciled",TRIM("Break: "&amp;IF(D9&lt;&gt;"Match","Name ","")&amp;IF(G9&lt;&gt;"Match","Country ","")&amp;IF(J9&lt;&gt;"Match","Rating",""))))</f>
        <v>Reconciled</v>
      </c>
      <c r="N9" s="27" t="str">
        <f aca="false">IF(AND(K9="Active",L9&lt;&gt;"",L9&lt;&gt;"Complete"),"Active account - KYC incomplete",IF(AND(K9="Active",L9=""),"Active account - no KYC record",""))</f>
        <v/>
      </c>
    </row>
    <row r="10" customFormat="false" ht="15" hidden="false" customHeight="false" outlineLevel="0" collapsed="false">
      <c r="A10" s="27" t="s">
        <v>235</v>
      </c>
      <c r="B10" s="27" t="str">
        <f aca="false">IFERROR(INDEX(Client_Master!$B$2:$B$41,MATCH(A10,Client_Master!$A$2:$A$41,0)),"")</f>
        <v>Pinnacle Realty Developers Ltd</v>
      </c>
      <c r="C10" s="27" t="str">
        <f aca="false">IFERROR(INDEX(Src_CoreBanking!$B$2:$B$41,MATCH(A10,Src_CoreBanking!$A$2:$A$41,0)),"")</f>
        <v>Pinnacle Realty Developers Ltd</v>
      </c>
      <c r="D10" s="27" t="str">
        <f aca="false">IF(B10="","Missing in CRM",IF(C10="","Missing in Core",IF(TRIM(UPPER(B10))=TRIM(UPPER(C10)),"Match","Break")))</f>
        <v>Match</v>
      </c>
      <c r="E10" s="27" t="str">
        <f aca="false">IFERROR(INDEX(Client_Master!$D$2:$D$41,MATCH(A10,Client_Master!$A$2:$A$41,0)),"")</f>
        <v>Singapore</v>
      </c>
      <c r="F10" s="27" t="str">
        <f aca="false">IFERROR(INDEX(Src_CoreBanking!$C$2:$C$41,MATCH(A10,Src_CoreBanking!$A$2:$A$41,0)),"")</f>
        <v>Singapore</v>
      </c>
      <c r="G10" s="27" t="str">
        <f aca="false">IF(OR(E10="",F10=""),"n/a",IF(E10=F10,"Match","Break"))</f>
        <v>Match</v>
      </c>
      <c r="H10" s="27" t="str">
        <f aca="false">IFERROR(INDEX(Client_Master!$H$2:$H$41,MATCH(A10,Client_Master!$A$2:$A$41,0)),"")</f>
        <v>Medium</v>
      </c>
      <c r="I10" s="27" t="str">
        <f aca="false">IFERROR(INDEX(Src_CoreBanking!$D$2:$D$41,MATCH(A10,Src_CoreBanking!$A$2:$A$41,0)),"")</f>
        <v>Medium</v>
      </c>
      <c r="J10" s="27" t="str">
        <f aca="false">IF(OR(H10="",I10=""),"n/a",IF(H10=I10,"Match","Break"))</f>
        <v>Match</v>
      </c>
      <c r="K10" s="27" t="str">
        <f aca="false">IFERROR(INDEX(Src_CoreBanking!$E$2:$E$41,MATCH(A10,Src_CoreBanking!$A$2:$A$41,0)),"")</f>
        <v>Active</v>
      </c>
      <c r="L10" s="27" t="str">
        <f aca="false">IFERROR(INDEX(Client_Master!$R$2:$R$41,MATCH(A10,Client_Master!$A$2:$A$41,0)),"")</f>
        <v>Complete</v>
      </c>
      <c r="M10" s="27" t="str">
        <f aca="false">IF(OR(D10="Missing in CRM",D10="Missing in Core"),D10,IF(AND(D10="Match",G10="Match",J10="Match"),"Reconciled",TRIM("Break: "&amp;IF(D10&lt;&gt;"Match","Name ","")&amp;IF(G10&lt;&gt;"Match","Country ","")&amp;IF(J10&lt;&gt;"Match","Rating",""))))</f>
        <v>Reconciled</v>
      </c>
      <c r="N10" s="27" t="str">
        <f aca="false">IF(AND(K10="Active",L10&lt;&gt;"",L10&lt;&gt;"Complete"),"Active account - KYC incomplete",IF(AND(K10="Active",L10=""),"Active account - no KYC record",""))</f>
        <v/>
      </c>
    </row>
    <row r="11" customFormat="false" ht="15" hidden="false" customHeight="false" outlineLevel="0" collapsed="false">
      <c r="A11" s="27" t="s">
        <v>237</v>
      </c>
      <c r="B11" s="27" t="str">
        <f aca="false">IFERROR(INDEX(Client_Master!$B$2:$B$41,MATCH(A11,Client_Master!$A$2:$A$41,0)),"")</f>
        <v>Harbour Point Trading Co</v>
      </c>
      <c r="C11" s="27" t="str">
        <f aca="false">IFERROR(INDEX(Src_CoreBanking!$B$2:$B$41,MATCH(A11,Src_CoreBanking!$A$2:$A$41,0)),"")</f>
        <v>Harbour Point Trading Co</v>
      </c>
      <c r="D11" s="27" t="str">
        <f aca="false">IF(B11="","Missing in CRM",IF(C11="","Missing in Core",IF(TRIM(UPPER(B11))=TRIM(UPPER(C11)),"Match","Break")))</f>
        <v>Match</v>
      </c>
      <c r="E11" s="27" t="str">
        <f aca="false">IFERROR(INDEX(Client_Master!$D$2:$D$41,MATCH(A11,Client_Master!$A$2:$A$41,0)),"")</f>
        <v>Hong Kong</v>
      </c>
      <c r="F11" s="27" t="str">
        <f aca="false">IFERROR(INDEX(Src_CoreBanking!$C$2:$C$41,MATCH(A11,Src_CoreBanking!$A$2:$A$41,0)),"")</f>
        <v>Singapore</v>
      </c>
      <c r="G11" s="27" t="str">
        <f aca="false">IF(OR(E11="",F11=""),"n/a",IF(E11=F11,"Match","Break"))</f>
        <v>Break</v>
      </c>
      <c r="H11" s="27" t="str">
        <f aca="false">IFERROR(INDEX(Client_Master!$H$2:$H$41,MATCH(A11,Client_Master!$A$2:$A$41,0)),"")</f>
        <v>Medium</v>
      </c>
      <c r="I11" s="27" t="str">
        <f aca="false">IFERROR(INDEX(Src_CoreBanking!$D$2:$D$41,MATCH(A11,Src_CoreBanking!$A$2:$A$41,0)),"")</f>
        <v>Medium</v>
      </c>
      <c r="J11" s="27" t="str">
        <f aca="false">IF(OR(H11="",I11=""),"n/a",IF(H11=I11,"Match","Break"))</f>
        <v>Match</v>
      </c>
      <c r="K11" s="27" t="str">
        <f aca="false">IFERROR(INDEX(Src_CoreBanking!$E$2:$E$41,MATCH(A11,Src_CoreBanking!$A$2:$A$41,0)),"")</f>
        <v>Active</v>
      </c>
      <c r="L11" s="27" t="str">
        <f aca="false">IFERROR(INDEX(Client_Master!$R$2:$R$41,MATCH(A11,Client_Master!$A$2:$A$41,0)),"")</f>
        <v>Complete</v>
      </c>
      <c r="M11" s="27" t="str">
        <f aca="false">IF(OR(D11="Missing in CRM",D11="Missing in Core"),D11,IF(AND(D11="Match",G11="Match",J11="Match"),"Reconciled",TRIM("Break: "&amp;IF(D11&lt;&gt;"Match","Name ","")&amp;IF(G11&lt;&gt;"Match","Country ","")&amp;IF(J11&lt;&gt;"Match","Rating",""))))</f>
        <v>Break: Country</v>
      </c>
      <c r="N11" s="27" t="str">
        <f aca="false">IF(AND(K11="Active",L11&lt;&gt;"",L11&lt;&gt;"Complete"),"Active account - KYC incomplete",IF(AND(K11="Active",L11=""),"Active account - no KYC record",""))</f>
        <v/>
      </c>
    </row>
    <row r="12" customFormat="false" ht="15" hidden="false" customHeight="false" outlineLevel="0" collapsed="false">
      <c r="A12" s="27" t="s">
        <v>239</v>
      </c>
      <c r="B12" s="27" t="str">
        <f aca="false">IFERROR(INDEX(Client_Master!$B$2:$B$41,MATCH(A12,Client_Master!$A$2:$A$41,0)),"")</f>
        <v>Coral Reef Gaming Ltd</v>
      </c>
      <c r="C12" s="27" t="str">
        <f aca="false">IFERROR(INDEX(Src_CoreBanking!$B$2:$B$41,MATCH(A12,Src_CoreBanking!$A$2:$A$41,0)),"")</f>
        <v>Coral Reef Gaming Ltd</v>
      </c>
      <c r="D12" s="27" t="str">
        <f aca="false">IF(B12="","Missing in CRM",IF(C12="","Missing in Core",IF(TRIM(UPPER(B12))=TRIM(UPPER(C12)),"Match","Break")))</f>
        <v>Match</v>
      </c>
      <c r="E12" s="27" t="str">
        <f aca="false">IFERROR(INDEX(Client_Master!$D$2:$D$41,MATCH(A12,Client_Master!$A$2:$A$41,0)),"")</f>
        <v>Cayman Islands</v>
      </c>
      <c r="F12" s="27" t="str">
        <f aca="false">IFERROR(INDEX(Src_CoreBanking!$C$2:$C$41,MATCH(A12,Src_CoreBanking!$A$2:$A$41,0)),"")</f>
        <v>Cayman Islands</v>
      </c>
      <c r="G12" s="27" t="str">
        <f aca="false">IF(OR(E12="",F12=""),"n/a",IF(E12=F12,"Match","Break"))</f>
        <v>Match</v>
      </c>
      <c r="H12" s="27" t="str">
        <f aca="false">IFERROR(INDEX(Client_Master!$H$2:$H$41,MATCH(A12,Client_Master!$A$2:$A$41,0)),"")</f>
        <v>Medium</v>
      </c>
      <c r="I12" s="27" t="str">
        <f aca="false">IFERROR(INDEX(Src_CoreBanking!$D$2:$D$41,MATCH(A12,Src_CoreBanking!$A$2:$A$41,0)),"")</f>
        <v>Medium</v>
      </c>
      <c r="J12" s="27" t="str">
        <f aca="false">IF(OR(H12="",I12=""),"n/a",IF(H12=I12,"Match","Break"))</f>
        <v>Match</v>
      </c>
      <c r="K12" s="27" t="str">
        <f aca="false">IFERROR(INDEX(Src_CoreBanking!$E$2:$E$41,MATCH(A12,Src_CoreBanking!$A$2:$A$41,0)),"")</f>
        <v>Active</v>
      </c>
      <c r="L12" s="27" t="str">
        <f aca="false">IFERROR(INDEX(Client_Master!$R$2:$R$41,MATCH(A12,Client_Master!$A$2:$A$41,0)),"")</f>
        <v>Complete</v>
      </c>
      <c r="M12" s="27" t="str">
        <f aca="false">IF(OR(D12="Missing in CRM",D12="Missing in Core"),D12,IF(AND(D12="Match",G12="Match",J12="Match"),"Reconciled",TRIM("Break: "&amp;IF(D12&lt;&gt;"Match","Name ","")&amp;IF(G12&lt;&gt;"Match","Country ","")&amp;IF(J12&lt;&gt;"Match","Rating",""))))</f>
        <v>Reconciled</v>
      </c>
      <c r="N12" s="27" t="str">
        <f aca="false">IF(AND(K12="Active",L12&lt;&gt;"",L12&lt;&gt;"Complete"),"Active account - KYC incomplete",IF(AND(K12="Active",L12=""),"Active account - no KYC record",""))</f>
        <v/>
      </c>
    </row>
    <row r="13" customFormat="false" ht="15" hidden="false" customHeight="false" outlineLevel="0" collapsed="false">
      <c r="A13" s="27" t="s">
        <v>241</v>
      </c>
      <c r="B13" s="27" t="str">
        <f aca="false">IFERROR(INDEX(Client_Master!$B$2:$B$41,MATCH(A13,Client_Master!$A$2:$A$41,0)),"")</f>
        <v>Brightline Retail Holdings Inc</v>
      </c>
      <c r="C13" s="27" t="str">
        <f aca="false">IFERROR(INDEX(Src_CoreBanking!$B$2:$B$41,MATCH(A13,Src_CoreBanking!$A$2:$A$41,0)),"")</f>
        <v>Brightline Retail Holdings Inc</v>
      </c>
      <c r="D13" s="27" t="str">
        <f aca="false">IF(B13="","Missing in CRM",IF(C13="","Missing in Core",IF(TRIM(UPPER(B13))=TRIM(UPPER(C13)),"Match","Break")))</f>
        <v>Match</v>
      </c>
      <c r="E13" s="27" t="str">
        <f aca="false">IFERROR(INDEX(Client_Master!$D$2:$D$41,MATCH(A13,Client_Master!$A$2:$A$41,0)),"")</f>
        <v>United States</v>
      </c>
      <c r="F13" s="27" t="str">
        <f aca="false">IFERROR(INDEX(Src_CoreBanking!$C$2:$C$41,MATCH(A13,Src_CoreBanking!$A$2:$A$41,0)),"")</f>
        <v>United States</v>
      </c>
      <c r="G13" s="27" t="str">
        <f aca="false">IF(OR(E13="",F13=""),"n/a",IF(E13=F13,"Match","Break"))</f>
        <v>Match</v>
      </c>
      <c r="H13" s="27" t="str">
        <f aca="false">IFERROR(INDEX(Client_Master!$H$2:$H$41,MATCH(A13,Client_Master!$A$2:$A$41,0)),"")</f>
        <v>Low</v>
      </c>
      <c r="I13" s="27" t="str">
        <f aca="false">IFERROR(INDEX(Src_CoreBanking!$D$2:$D$41,MATCH(A13,Src_CoreBanking!$A$2:$A$41,0)),"")</f>
        <v>Low</v>
      </c>
      <c r="J13" s="27" t="str">
        <f aca="false">IF(OR(H13="",I13=""),"n/a",IF(H13=I13,"Match","Break"))</f>
        <v>Match</v>
      </c>
      <c r="K13" s="27" t="str">
        <f aca="false">IFERROR(INDEX(Src_CoreBanking!$E$2:$E$41,MATCH(A13,Src_CoreBanking!$A$2:$A$41,0)),"")</f>
        <v>Active</v>
      </c>
      <c r="L13" s="27" t="str">
        <f aca="false">IFERROR(INDEX(Client_Master!$R$2:$R$41,MATCH(A13,Client_Master!$A$2:$A$41,0)),"")</f>
        <v>Complete</v>
      </c>
      <c r="M13" s="27" t="str">
        <f aca="false">IF(OR(D13="Missing in CRM",D13="Missing in Core"),D13,IF(AND(D13="Match",G13="Match",J13="Match"),"Reconciled",TRIM("Break: "&amp;IF(D13&lt;&gt;"Match","Name ","")&amp;IF(G13&lt;&gt;"Match","Country ","")&amp;IF(J13&lt;&gt;"Match","Rating",""))))</f>
        <v>Reconciled</v>
      </c>
      <c r="N13" s="27" t="str">
        <f aca="false">IF(AND(K13="Active",L13&lt;&gt;"",L13&lt;&gt;"Complete"),"Active account - KYC incomplete",IF(AND(K13="Active",L13=""),"Active account - no KYC record",""))</f>
        <v/>
      </c>
    </row>
    <row r="14" customFormat="false" ht="15" hidden="false" customHeight="false" outlineLevel="0" collapsed="false">
      <c r="A14" s="27" t="s">
        <v>243</v>
      </c>
      <c r="B14" s="27" t="str">
        <f aca="false">IFERROR(INDEX(Client_Master!$B$2:$B$41,MATCH(A14,Client_Master!$A$2:$A$41,0)),"")</f>
        <v>Sakura Electronics KK</v>
      </c>
      <c r="C14" s="27" t="str">
        <f aca="false">IFERROR(INDEX(Src_CoreBanking!$B$2:$B$41,MATCH(A14,Src_CoreBanking!$A$2:$A$41,0)),"")</f>
        <v>Sakura Electronics KK</v>
      </c>
      <c r="D14" s="27" t="str">
        <f aca="false">IF(B14="","Missing in CRM",IF(C14="","Missing in Core",IF(TRIM(UPPER(B14))=TRIM(UPPER(C14)),"Match","Break")))</f>
        <v>Match</v>
      </c>
      <c r="E14" s="27" t="str">
        <f aca="false">IFERROR(INDEX(Client_Master!$D$2:$D$41,MATCH(A14,Client_Master!$A$2:$A$41,0)),"")</f>
        <v>Japan</v>
      </c>
      <c r="F14" s="27" t="str">
        <f aca="false">IFERROR(INDEX(Src_CoreBanking!$C$2:$C$41,MATCH(A14,Src_CoreBanking!$A$2:$A$41,0)),"")</f>
        <v>Japan</v>
      </c>
      <c r="G14" s="27" t="str">
        <f aca="false">IF(OR(E14="",F14=""),"n/a",IF(E14=F14,"Match","Break"))</f>
        <v>Match</v>
      </c>
      <c r="H14" s="27" t="str">
        <f aca="false">IFERROR(INDEX(Client_Master!$H$2:$H$41,MATCH(A14,Client_Master!$A$2:$A$41,0)),"")</f>
        <v>Low</v>
      </c>
      <c r="I14" s="27" t="str">
        <f aca="false">IFERROR(INDEX(Src_CoreBanking!$D$2:$D$41,MATCH(A14,Src_CoreBanking!$A$2:$A$41,0)),"")</f>
        <v>Low</v>
      </c>
      <c r="J14" s="27" t="str">
        <f aca="false">IF(OR(H14="",I14=""),"n/a",IF(H14=I14,"Match","Break"))</f>
        <v>Match</v>
      </c>
      <c r="K14" s="27" t="str">
        <f aca="false">IFERROR(INDEX(Src_CoreBanking!$E$2:$E$41,MATCH(A14,Src_CoreBanking!$A$2:$A$41,0)),"")</f>
        <v>Dormant</v>
      </c>
      <c r="L14" s="27" t="str">
        <f aca="false">IFERROR(INDEX(Client_Master!$R$2:$R$41,MATCH(A14,Client_Master!$A$2:$A$41,0)),"")</f>
        <v>Complete</v>
      </c>
      <c r="M14" s="27" t="str">
        <f aca="false">IF(OR(D14="Missing in CRM",D14="Missing in Core"),D14,IF(AND(D14="Match",G14="Match",J14="Match"),"Reconciled",TRIM("Break: "&amp;IF(D14&lt;&gt;"Match","Name ","")&amp;IF(G14&lt;&gt;"Match","Country ","")&amp;IF(J14&lt;&gt;"Match","Rating",""))))</f>
        <v>Reconciled</v>
      </c>
      <c r="N14" s="27" t="str">
        <f aca="false">IF(AND(K14="Active",L14&lt;&gt;"",L14&lt;&gt;"Complete"),"Active account - KYC incomplete",IF(AND(K14="Active",L14=""),"Active account - no KYC record",""))</f>
        <v/>
      </c>
    </row>
    <row r="15" customFormat="false" ht="15" hidden="false" customHeight="false" outlineLevel="0" collapsed="false">
      <c r="A15" s="27" t="s">
        <v>245</v>
      </c>
      <c r="B15" s="27" t="str">
        <f aca="false">IFERROR(INDEX(Client_Master!$B$2:$B$41,MATCH(A15,Client_Master!$A$2:$A$41,0)),"")</f>
        <v>Maple Leaf Health Clinics Inc</v>
      </c>
      <c r="C15" s="27" t="str">
        <f aca="false">IFERROR(INDEX(Src_CoreBanking!$B$2:$B$41,MATCH(A15,Src_CoreBanking!$A$2:$A$41,0)),"")</f>
        <v>Maple Leaf Health Clinics Inc</v>
      </c>
      <c r="D15" s="27" t="str">
        <f aca="false">IF(B15="","Missing in CRM",IF(C15="","Missing in Core",IF(TRIM(UPPER(B15))=TRIM(UPPER(C15)),"Match","Break")))</f>
        <v>Match</v>
      </c>
      <c r="E15" s="27" t="str">
        <f aca="false">IFERROR(INDEX(Client_Master!$D$2:$D$41,MATCH(A15,Client_Master!$A$2:$A$41,0)),"")</f>
        <v>Canada</v>
      </c>
      <c r="F15" s="27" t="str">
        <f aca="false">IFERROR(INDEX(Src_CoreBanking!$C$2:$C$41,MATCH(A15,Src_CoreBanking!$A$2:$A$41,0)),"")</f>
        <v>Canada</v>
      </c>
      <c r="G15" s="27" t="str">
        <f aca="false">IF(OR(E15="",F15=""),"n/a",IF(E15=F15,"Match","Break"))</f>
        <v>Match</v>
      </c>
      <c r="H15" s="27" t="str">
        <f aca="false">IFERROR(INDEX(Client_Master!$H$2:$H$41,MATCH(A15,Client_Master!$A$2:$A$41,0)),"")</f>
        <v>Low</v>
      </c>
      <c r="I15" s="27" t="str">
        <f aca="false">IFERROR(INDEX(Src_CoreBanking!$D$2:$D$41,MATCH(A15,Src_CoreBanking!$A$2:$A$41,0)),"")</f>
        <v>Medium</v>
      </c>
      <c r="J15" s="27" t="str">
        <f aca="false">IF(OR(H15="",I15=""),"n/a",IF(H15=I15,"Match","Break"))</f>
        <v>Break</v>
      </c>
      <c r="K15" s="27" t="str">
        <f aca="false">IFERROR(INDEX(Src_CoreBanking!$E$2:$E$41,MATCH(A15,Src_CoreBanking!$A$2:$A$41,0)),"")</f>
        <v>Active</v>
      </c>
      <c r="L15" s="27" t="str">
        <f aca="false">IFERROR(INDEX(Client_Master!$R$2:$R$41,MATCH(A15,Client_Master!$A$2:$A$41,0)),"")</f>
        <v>Complete</v>
      </c>
      <c r="M15" s="27" t="str">
        <f aca="false">IF(OR(D15="Missing in CRM",D15="Missing in Core"),D15,IF(AND(D15="Match",G15="Match",J15="Match"),"Reconciled",TRIM("Break: "&amp;IF(D15&lt;&gt;"Match","Name ","")&amp;IF(G15&lt;&gt;"Match","Country ","")&amp;IF(J15&lt;&gt;"Match","Rating",""))))</f>
        <v>Break: Rating</v>
      </c>
      <c r="N15" s="27" t="str">
        <f aca="false">IF(AND(K15="Active",L15&lt;&gt;"",L15&lt;&gt;"Complete"),"Active account - KYC incomplete",IF(AND(K15="Active",L15=""),"Active account - no KYC record",""))</f>
        <v/>
      </c>
    </row>
    <row r="16" customFormat="false" ht="15" hidden="false" customHeight="false" outlineLevel="0" collapsed="false">
      <c r="A16" s="27" t="s">
        <v>247</v>
      </c>
      <c r="B16" s="27" t="str">
        <f aca="false">IFERROR(INDEX(Client_Master!$B$2:$B$41,MATCH(A16,Client_Master!$A$2:$A$41,0)),"")</f>
        <v>Hollis Capital Partners LLP</v>
      </c>
      <c r="C16" s="27" t="str">
        <f aca="false">IFERROR(INDEX(Src_CoreBanking!$B$2:$B$41,MATCH(A16,Src_CoreBanking!$A$2:$A$41,0)),"")</f>
        <v>Hollis Capital Partners LLP</v>
      </c>
      <c r="D16" s="27" t="str">
        <f aca="false">IF(B16="","Missing in CRM",IF(C16="","Missing in Core",IF(TRIM(UPPER(B16))=TRIM(UPPER(C16)),"Match","Break")))</f>
        <v>Match</v>
      </c>
      <c r="E16" s="27" t="str">
        <f aca="false">IFERROR(INDEX(Client_Master!$D$2:$D$41,MATCH(A16,Client_Master!$A$2:$A$41,0)),"")</f>
        <v>United Kingdom</v>
      </c>
      <c r="F16" s="27" t="str">
        <f aca="false">IFERROR(INDEX(Src_CoreBanking!$C$2:$C$41,MATCH(A16,Src_CoreBanking!$A$2:$A$41,0)),"")</f>
        <v>United Kingdom</v>
      </c>
      <c r="G16" s="27" t="str">
        <f aca="false">IF(OR(E16="",F16=""),"n/a",IF(E16=F16,"Match","Break"))</f>
        <v>Match</v>
      </c>
      <c r="H16" s="27" t="str">
        <f aca="false">IFERROR(INDEX(Client_Master!$H$2:$H$41,MATCH(A16,Client_Master!$A$2:$A$41,0)),"")</f>
        <v>Medium</v>
      </c>
      <c r="I16" s="27" t="str">
        <f aca="false">IFERROR(INDEX(Src_CoreBanking!$D$2:$D$41,MATCH(A16,Src_CoreBanking!$A$2:$A$41,0)),"")</f>
        <v>Medium</v>
      </c>
      <c r="J16" s="27" t="str">
        <f aca="false">IF(OR(H16="",I16=""),"n/a",IF(H16=I16,"Match","Break"))</f>
        <v>Match</v>
      </c>
      <c r="K16" s="27" t="str">
        <f aca="false">IFERROR(INDEX(Src_CoreBanking!$E$2:$E$41,MATCH(A16,Src_CoreBanking!$A$2:$A$41,0)),"")</f>
        <v>Active</v>
      </c>
      <c r="L16" s="27" t="str">
        <f aca="false">IFERROR(INDEX(Client_Master!$R$2:$R$41,MATCH(A16,Client_Master!$A$2:$A$41,0)),"")</f>
        <v>Complete</v>
      </c>
      <c r="M16" s="27" t="str">
        <f aca="false">IF(OR(D16="Missing in CRM",D16="Missing in Core"),D16,IF(AND(D16="Match",G16="Match",J16="Match"),"Reconciled",TRIM("Break: "&amp;IF(D16&lt;&gt;"Match","Name ","")&amp;IF(G16&lt;&gt;"Match","Country ","")&amp;IF(J16&lt;&gt;"Match","Rating",""))))</f>
        <v>Reconciled</v>
      </c>
      <c r="N16" s="27" t="str">
        <f aca="false">IF(AND(K16="Active",L16&lt;&gt;"",L16&lt;&gt;"Complete"),"Active account - KYC incomplete",IF(AND(K16="Active",L16=""),"Active account - no KYC record",""))</f>
        <v/>
      </c>
    </row>
    <row r="17" customFormat="false" ht="15" hidden="false" customHeight="false" outlineLevel="0" collapsed="false">
      <c r="A17" s="27" t="s">
        <v>249</v>
      </c>
      <c r="B17" s="27" t="str">
        <f aca="false">IFERROR(INDEX(Client_Master!$B$2:$B$41,MATCH(A17,Client_Master!$A$2:$A$41,0)),"")</f>
        <v>Bluewave Software Labs Inc</v>
      </c>
      <c r="C17" s="27" t="str">
        <f aca="false">IFERROR(INDEX(Src_CoreBanking!$B$2:$B$41,MATCH(A17,Src_CoreBanking!$A$2:$A$41,0)),"")</f>
        <v>Bluewave Software Labs Inc</v>
      </c>
      <c r="D17" s="27" t="str">
        <f aca="false">IF(B17="","Missing in CRM",IF(C17="","Missing in Core",IF(TRIM(UPPER(B17))=TRIM(UPPER(C17)),"Match","Break")))</f>
        <v>Match</v>
      </c>
      <c r="E17" s="27" t="str">
        <f aca="false">IFERROR(INDEX(Client_Master!$D$2:$D$41,MATCH(A17,Client_Master!$A$2:$A$41,0)),"")</f>
        <v>United States</v>
      </c>
      <c r="F17" s="27" t="str">
        <f aca="false">IFERROR(INDEX(Src_CoreBanking!$C$2:$C$41,MATCH(A17,Src_CoreBanking!$A$2:$A$41,0)),"")</f>
        <v>United States</v>
      </c>
      <c r="G17" s="27" t="str">
        <f aca="false">IF(OR(E17="",F17=""),"n/a",IF(E17=F17,"Match","Break"))</f>
        <v>Match</v>
      </c>
      <c r="H17" s="27" t="str">
        <f aca="false">IFERROR(INDEX(Client_Master!$H$2:$H$41,MATCH(A17,Client_Master!$A$2:$A$41,0)),"")</f>
        <v>Low</v>
      </c>
      <c r="I17" s="27" t="str">
        <f aca="false">IFERROR(INDEX(Src_CoreBanking!$D$2:$D$41,MATCH(A17,Src_CoreBanking!$A$2:$A$41,0)),"")</f>
        <v>Low</v>
      </c>
      <c r="J17" s="27" t="str">
        <f aca="false">IF(OR(H17="",I17=""),"n/a",IF(H17=I17,"Match","Break"))</f>
        <v>Match</v>
      </c>
      <c r="K17" s="27" t="str">
        <f aca="false">IFERROR(INDEX(Src_CoreBanking!$E$2:$E$41,MATCH(A17,Src_CoreBanking!$A$2:$A$41,0)),"")</f>
        <v>Active</v>
      </c>
      <c r="L17" s="27" t="str">
        <f aca="false">IFERROR(INDEX(Client_Master!$R$2:$R$41,MATCH(A17,Client_Master!$A$2:$A$41,0)),"")</f>
        <v>Complete</v>
      </c>
      <c r="M17" s="27" t="str">
        <f aca="false">IF(OR(D17="Missing in CRM",D17="Missing in Core"),D17,IF(AND(D17="Match",G17="Match",J17="Match"),"Reconciled",TRIM("Break: "&amp;IF(D17&lt;&gt;"Match","Name ","")&amp;IF(G17&lt;&gt;"Match","Country ","")&amp;IF(J17&lt;&gt;"Match","Rating",""))))</f>
        <v>Reconciled</v>
      </c>
      <c r="N17" s="27" t="str">
        <f aca="false">IF(AND(K17="Active",L17&lt;&gt;"",L17&lt;&gt;"Complete"),"Active account - KYC incomplete",IF(AND(K17="Active",L17=""),"Active account - no KYC record",""))</f>
        <v/>
      </c>
    </row>
    <row r="18" customFormat="false" ht="15" hidden="false" customHeight="false" outlineLevel="0" collapsed="false">
      <c r="A18" s="27" t="s">
        <v>251</v>
      </c>
      <c r="B18" s="27" t="str">
        <f aca="false">IFERROR(INDEX(Client_Master!$B$2:$B$41,MATCH(A18,Client_Master!$A$2:$A$41,0)),"")</f>
        <v>Evergreen Charitable Foundation</v>
      </c>
      <c r="C18" s="27" t="str">
        <f aca="false">IFERROR(INDEX(Src_CoreBanking!$B$2:$B$41,MATCH(A18,Src_CoreBanking!$A$2:$A$41,0)),"")</f>
        <v>Evergreen Charitable Foundation</v>
      </c>
      <c r="D18" s="27" t="str">
        <f aca="false">IF(B18="","Missing in CRM",IF(C18="","Missing in Core",IF(TRIM(UPPER(B18))=TRIM(UPPER(C18)),"Match","Break")))</f>
        <v>Match</v>
      </c>
      <c r="E18" s="27" t="str">
        <f aca="false">IFERROR(INDEX(Client_Master!$D$2:$D$41,MATCH(A18,Client_Master!$A$2:$A$41,0)),"")</f>
        <v>India</v>
      </c>
      <c r="F18" s="27" t="str">
        <f aca="false">IFERROR(INDEX(Src_CoreBanking!$C$2:$C$41,MATCH(A18,Src_CoreBanking!$A$2:$A$41,0)),"")</f>
        <v>India</v>
      </c>
      <c r="G18" s="27" t="str">
        <f aca="false">IF(OR(E18="",F18=""),"n/a",IF(E18=F18,"Match","Break"))</f>
        <v>Match</v>
      </c>
      <c r="H18" s="27" t="str">
        <f aca="false">IFERROR(INDEX(Client_Master!$H$2:$H$41,MATCH(A18,Client_Master!$A$2:$A$41,0)),"")</f>
        <v>Medium</v>
      </c>
      <c r="I18" s="27" t="str">
        <f aca="false">IFERROR(INDEX(Src_CoreBanking!$D$2:$D$41,MATCH(A18,Src_CoreBanking!$A$2:$A$41,0)),"")</f>
        <v>Medium</v>
      </c>
      <c r="J18" s="27" t="str">
        <f aca="false">IF(OR(H18="",I18=""),"n/a",IF(H18=I18,"Match","Break"))</f>
        <v>Match</v>
      </c>
      <c r="K18" s="27" t="str">
        <f aca="false">IFERROR(INDEX(Src_CoreBanking!$E$2:$E$41,MATCH(A18,Src_CoreBanking!$A$2:$A$41,0)),"")</f>
        <v>Active</v>
      </c>
      <c r="L18" s="27" t="str">
        <f aca="false">IFERROR(INDEX(Client_Master!$R$2:$R$41,MATCH(A18,Client_Master!$A$2:$A$41,0)),"")</f>
        <v>Incomplete - Docs</v>
      </c>
      <c r="M18" s="27" t="str">
        <f aca="false">IF(OR(D18="Missing in CRM",D18="Missing in Core"),D18,IF(AND(D18="Match",G18="Match",J18="Match"),"Reconciled",TRIM("Break: "&amp;IF(D18&lt;&gt;"Match","Name ","")&amp;IF(G18&lt;&gt;"Match","Country ","")&amp;IF(J18&lt;&gt;"Match","Rating",""))))</f>
        <v>Reconciled</v>
      </c>
      <c r="N18" s="27" t="str">
        <f aca="false">IF(AND(K18="Active",L18&lt;&gt;"",L18&lt;&gt;"Complete"),"Active account - KYC incomplete",IF(AND(K18="Active",L18=""),"Active account - no KYC record",""))</f>
        <v>Active account - KYC incomplete</v>
      </c>
    </row>
    <row r="19" customFormat="false" ht="15" hidden="false" customHeight="false" outlineLevel="0" collapsed="false">
      <c r="A19" s="27" t="s">
        <v>253</v>
      </c>
      <c r="B19" s="27" t="str">
        <f aca="false">IFERROR(INDEX(Client_Master!$B$2:$B$41,MATCH(A19,Client_Master!$A$2:$A$41,0)),"")</f>
        <v>Orion Freight Forwarders Pvt Ltd</v>
      </c>
      <c r="C19" s="27" t="str">
        <f aca="false">IFERROR(INDEX(Src_CoreBanking!$B$2:$B$41,MATCH(A19,Src_CoreBanking!$A$2:$A$41,0)),"")</f>
        <v>Orion Freight Forwarders Pvt Ltd</v>
      </c>
      <c r="D19" s="27" t="str">
        <f aca="false">IF(B19="","Missing in CRM",IF(C19="","Missing in Core",IF(TRIM(UPPER(B19))=TRIM(UPPER(C19)),"Match","Break")))</f>
        <v>Match</v>
      </c>
      <c r="E19" s="27" t="str">
        <f aca="false">IFERROR(INDEX(Client_Master!$D$2:$D$41,MATCH(A19,Client_Master!$A$2:$A$41,0)),"")</f>
        <v>India</v>
      </c>
      <c r="F19" s="27" t="str">
        <f aca="false">IFERROR(INDEX(Src_CoreBanking!$C$2:$C$41,MATCH(A19,Src_CoreBanking!$A$2:$A$41,0)),"")</f>
        <v>India</v>
      </c>
      <c r="G19" s="27" t="str">
        <f aca="false">IF(OR(E19="",F19=""),"n/a",IF(E19=F19,"Match","Break"))</f>
        <v>Match</v>
      </c>
      <c r="H19" s="27" t="str">
        <f aca="false">IFERROR(INDEX(Client_Master!$H$2:$H$41,MATCH(A19,Client_Master!$A$2:$A$41,0)),"")</f>
        <v>Low</v>
      </c>
      <c r="I19" s="27" t="str">
        <f aca="false">IFERROR(INDEX(Src_CoreBanking!$D$2:$D$41,MATCH(A19,Src_CoreBanking!$A$2:$A$41,0)),"")</f>
        <v>Low</v>
      </c>
      <c r="J19" s="27" t="str">
        <f aca="false">IF(OR(H19="",I19=""),"n/a",IF(H19=I19,"Match","Break"))</f>
        <v>Match</v>
      </c>
      <c r="K19" s="27" t="str">
        <f aca="false">IFERROR(INDEX(Src_CoreBanking!$E$2:$E$41,MATCH(A19,Src_CoreBanking!$A$2:$A$41,0)),"")</f>
        <v>Active</v>
      </c>
      <c r="L19" s="27" t="str">
        <f aca="false">IFERROR(INDEX(Client_Master!$R$2:$R$41,MATCH(A19,Client_Master!$A$2:$A$41,0)),"")</f>
        <v>Complete</v>
      </c>
      <c r="M19" s="27" t="str">
        <f aca="false">IF(OR(D19="Missing in CRM",D19="Missing in Core"),D19,IF(AND(D19="Match",G19="Match",J19="Match"),"Reconciled",TRIM("Break: "&amp;IF(D19&lt;&gt;"Match","Name ","")&amp;IF(G19&lt;&gt;"Match","Country ","")&amp;IF(J19&lt;&gt;"Match","Rating",""))))</f>
        <v>Reconciled</v>
      </c>
      <c r="N19" s="27" t="str">
        <f aca="false">IF(AND(K19="Active",L19&lt;&gt;"",L19&lt;&gt;"Complete"),"Active account - KYC incomplete",IF(AND(K19="Active",L19=""),"Active account - no KYC record",""))</f>
        <v/>
      </c>
    </row>
    <row r="20" customFormat="false" ht="15" hidden="false" customHeight="false" outlineLevel="0" collapsed="false">
      <c r="A20" s="27" t="s">
        <v>255</v>
      </c>
      <c r="B20" s="27" t="str">
        <f aca="false">IFERROR(INDEX(Client_Master!$B$2:$B$41,MATCH(A20,Client_Master!$A$2:$A$41,0)),"")</f>
        <v>Metro Fuel &amp; Convenience Stores Inc</v>
      </c>
      <c r="C20" s="27" t="str">
        <f aca="false">IFERROR(INDEX(Src_CoreBanking!$B$2:$B$41,MATCH(A20,Src_CoreBanking!$A$2:$A$41,0)),"")</f>
        <v>Metro Fuel &amp; Convenience Stores Inc</v>
      </c>
      <c r="D20" s="27" t="str">
        <f aca="false">IF(B20="","Missing in CRM",IF(C20="","Missing in Core",IF(TRIM(UPPER(B20))=TRIM(UPPER(C20)),"Match","Break")))</f>
        <v>Match</v>
      </c>
      <c r="E20" s="27" t="str">
        <f aca="false">IFERROR(INDEX(Client_Master!$D$2:$D$41,MATCH(A20,Client_Master!$A$2:$A$41,0)),"")</f>
        <v>United States</v>
      </c>
      <c r="F20" s="27" t="str">
        <f aca="false">IFERROR(INDEX(Src_CoreBanking!$C$2:$C$41,MATCH(A20,Src_CoreBanking!$A$2:$A$41,0)),"")</f>
        <v>United States</v>
      </c>
      <c r="G20" s="27" t="str">
        <f aca="false">IF(OR(E20="",F20=""),"n/a",IF(E20=F20,"Match","Break"))</f>
        <v>Match</v>
      </c>
      <c r="H20" s="27" t="str">
        <f aca="false">IFERROR(INDEX(Client_Master!$H$2:$H$41,MATCH(A20,Client_Master!$A$2:$A$41,0)),"")</f>
        <v>Low</v>
      </c>
      <c r="I20" s="27" t="str">
        <f aca="false">IFERROR(INDEX(Src_CoreBanking!$D$2:$D$41,MATCH(A20,Src_CoreBanking!$A$2:$A$41,0)),"")</f>
        <v>Low</v>
      </c>
      <c r="J20" s="27" t="str">
        <f aca="false">IF(OR(H20="",I20=""),"n/a",IF(H20=I20,"Match","Break"))</f>
        <v>Match</v>
      </c>
      <c r="K20" s="27" t="str">
        <f aca="false">IFERROR(INDEX(Src_CoreBanking!$E$2:$E$41,MATCH(A20,Src_CoreBanking!$A$2:$A$41,0)),"")</f>
        <v>Active</v>
      </c>
      <c r="L20" s="27" t="str">
        <f aca="false">IFERROR(INDEX(Client_Master!$R$2:$R$41,MATCH(A20,Client_Master!$A$2:$A$41,0)),"")</f>
        <v>Complete</v>
      </c>
      <c r="M20" s="27" t="str">
        <f aca="false">IF(OR(D20="Missing in CRM",D20="Missing in Core"),D20,IF(AND(D20="Match",G20="Match",J20="Match"),"Reconciled",TRIM("Break: "&amp;IF(D20&lt;&gt;"Match","Name ","")&amp;IF(G20&lt;&gt;"Match","Country ","")&amp;IF(J20&lt;&gt;"Match","Rating",""))))</f>
        <v>Reconciled</v>
      </c>
      <c r="N20" s="27" t="str">
        <f aca="false">IF(AND(K20="Active",L20&lt;&gt;"",L20&lt;&gt;"Complete"),"Active account - KYC incomplete",IF(AND(K20="Active",L20=""),"Active account - no KYC record",""))</f>
        <v/>
      </c>
    </row>
    <row r="21" customFormat="false" ht="15" hidden="false" customHeight="false" outlineLevel="0" collapsed="false">
      <c r="A21" s="27" t="s">
        <v>257</v>
      </c>
      <c r="B21" s="27" t="str">
        <f aca="false">IFERROR(INDEX(Client_Master!$B$2:$B$41,MATCH(A21,Client_Master!$A$2:$A$41,0)),"")</f>
        <v>Rhine Valley Pharma GmbH</v>
      </c>
      <c r="C21" s="27" t="str">
        <f aca="false">IFERROR(INDEX(Src_CoreBanking!$B$2:$B$41,MATCH(A21,Src_CoreBanking!$A$2:$A$41,0)),"")</f>
        <v>Rhine Valley Pharma GmbH</v>
      </c>
      <c r="D21" s="27" t="str">
        <f aca="false">IF(B21="","Missing in CRM",IF(C21="","Missing in Core",IF(TRIM(UPPER(B21))=TRIM(UPPER(C21)),"Match","Break")))</f>
        <v>Match</v>
      </c>
      <c r="E21" s="27" t="str">
        <f aca="false">IFERROR(INDEX(Client_Master!$D$2:$D$41,MATCH(A21,Client_Master!$A$2:$A$41,0)),"")</f>
        <v>Germany</v>
      </c>
      <c r="F21" s="27" t="str">
        <f aca="false">IFERROR(INDEX(Src_CoreBanking!$C$2:$C$41,MATCH(A21,Src_CoreBanking!$A$2:$A$41,0)),"")</f>
        <v>Germany</v>
      </c>
      <c r="G21" s="27" t="str">
        <f aca="false">IF(OR(E21="",F21=""),"n/a",IF(E21=F21,"Match","Break"))</f>
        <v>Match</v>
      </c>
      <c r="H21" s="27" t="str">
        <f aca="false">IFERROR(INDEX(Client_Master!$H$2:$H$41,MATCH(A21,Client_Master!$A$2:$A$41,0)),"")</f>
        <v>Low</v>
      </c>
      <c r="I21" s="27" t="str">
        <f aca="false">IFERROR(INDEX(Src_CoreBanking!$D$2:$D$41,MATCH(A21,Src_CoreBanking!$A$2:$A$41,0)),"")</f>
        <v>Low</v>
      </c>
      <c r="J21" s="27" t="str">
        <f aca="false">IF(OR(H21="",I21=""),"n/a",IF(H21=I21,"Match","Break"))</f>
        <v>Match</v>
      </c>
      <c r="K21" s="27" t="str">
        <f aca="false">IFERROR(INDEX(Src_CoreBanking!$E$2:$E$41,MATCH(A21,Src_CoreBanking!$A$2:$A$41,0)),"")</f>
        <v>Active</v>
      </c>
      <c r="L21" s="27" t="str">
        <f aca="false">IFERROR(INDEX(Client_Master!$R$2:$R$41,MATCH(A21,Client_Master!$A$2:$A$41,0)),"")</f>
        <v>Complete</v>
      </c>
      <c r="M21" s="27" t="str">
        <f aca="false">IF(OR(D21="Missing in CRM",D21="Missing in Core"),D21,IF(AND(D21="Match",G21="Match",J21="Match"),"Reconciled",TRIM("Break: "&amp;IF(D21&lt;&gt;"Match","Name ","")&amp;IF(G21&lt;&gt;"Match","Country ","")&amp;IF(J21&lt;&gt;"Match","Rating",""))))</f>
        <v>Reconciled</v>
      </c>
      <c r="N21" s="27" t="str">
        <f aca="false">IF(AND(K21="Active",L21&lt;&gt;"",L21&lt;&gt;"Complete"),"Active account - KYC incomplete",IF(AND(K21="Active",L21=""),"Active account - no KYC record",""))</f>
        <v/>
      </c>
    </row>
    <row r="22" customFormat="false" ht="15" hidden="false" customHeight="false" outlineLevel="0" collapsed="false">
      <c r="A22" s="27" t="s">
        <v>259</v>
      </c>
      <c r="B22" s="27" t="str">
        <f aca="false">IFERROR(INDEX(Client_Master!$B$2:$B$41,MATCH(A22,Client_Master!$A$2:$A$41,0)),"")</f>
        <v>Kestrel Engineering Services Pte Ltd</v>
      </c>
      <c r="C22" s="27" t="str">
        <f aca="false">IFERROR(INDEX(Src_CoreBanking!$B$2:$B$41,MATCH(A22,Src_CoreBanking!$A$2:$A$41,0)),"")</f>
        <v>Kestrel Engineering Services Pte Ltd</v>
      </c>
      <c r="D22" s="27" t="str">
        <f aca="false">IF(B22="","Missing in CRM",IF(C22="","Missing in Core",IF(TRIM(UPPER(B22))=TRIM(UPPER(C22)),"Match","Break")))</f>
        <v>Match</v>
      </c>
      <c r="E22" s="27" t="str">
        <f aca="false">IFERROR(INDEX(Client_Master!$D$2:$D$41,MATCH(A22,Client_Master!$A$2:$A$41,0)),"")</f>
        <v>Singapore</v>
      </c>
      <c r="F22" s="27" t="str">
        <f aca="false">IFERROR(INDEX(Src_CoreBanking!$C$2:$C$41,MATCH(A22,Src_CoreBanking!$A$2:$A$41,0)),"")</f>
        <v>Singapore</v>
      </c>
      <c r="G22" s="27" t="str">
        <f aca="false">IF(OR(E22="",F22=""),"n/a",IF(E22=F22,"Match","Break"))</f>
        <v>Match</v>
      </c>
      <c r="H22" s="27" t="str">
        <f aca="false">IFERROR(INDEX(Client_Master!$H$2:$H$41,MATCH(A22,Client_Master!$A$2:$A$41,0)),"")</f>
        <v>Low</v>
      </c>
      <c r="I22" s="27" t="str">
        <f aca="false">IFERROR(INDEX(Src_CoreBanking!$D$2:$D$41,MATCH(A22,Src_CoreBanking!$A$2:$A$41,0)),"")</f>
        <v>Low</v>
      </c>
      <c r="J22" s="27" t="str">
        <f aca="false">IF(OR(H22="",I22=""),"n/a",IF(H22=I22,"Match","Break"))</f>
        <v>Match</v>
      </c>
      <c r="K22" s="27" t="str">
        <f aca="false">IFERROR(INDEX(Src_CoreBanking!$E$2:$E$41,MATCH(A22,Src_CoreBanking!$A$2:$A$41,0)),"")</f>
        <v>Active</v>
      </c>
      <c r="L22" s="27" t="str">
        <f aca="false">IFERROR(INDEX(Client_Master!$R$2:$R$41,MATCH(A22,Client_Master!$A$2:$A$41,0)),"")</f>
        <v>Complete</v>
      </c>
      <c r="M22" s="27" t="str">
        <f aca="false">IF(OR(D22="Missing in CRM",D22="Missing in Core"),D22,IF(AND(D22="Match",G22="Match",J22="Match"),"Reconciled",TRIM("Break: "&amp;IF(D22&lt;&gt;"Match","Name ","")&amp;IF(G22&lt;&gt;"Match","Country ","")&amp;IF(J22&lt;&gt;"Match","Rating",""))))</f>
        <v>Reconciled</v>
      </c>
      <c r="N22" s="27" t="str">
        <f aca="false">IF(AND(K22="Active",L22&lt;&gt;"",L22&lt;&gt;"Complete"),"Active account - KYC incomplete",IF(AND(K22="Active",L22=""),"Active account - no KYC record",""))</f>
        <v/>
      </c>
    </row>
    <row r="23" customFormat="false" ht="15" hidden="false" customHeight="false" outlineLevel="0" collapsed="false">
      <c r="A23" s="27" t="s">
        <v>261</v>
      </c>
      <c r="B23" s="27" t="str">
        <f aca="false">IFERROR(INDEX(Client_Master!$B$2:$B$41,MATCH(A23,Client_Master!$A$2:$A$41,0)),"")</f>
        <v>Vantage Commodities Trading FZE</v>
      </c>
      <c r="C23" s="27" t="str">
        <f aca="false">IFERROR(INDEX(Src_CoreBanking!$B$2:$B$41,MATCH(A23,Src_CoreBanking!$A$2:$A$41,0)),"")</f>
        <v>Vantage Commodities Trading FZE</v>
      </c>
      <c r="D23" s="27" t="str">
        <f aca="false">IF(B23="","Missing in CRM",IF(C23="","Missing in Core",IF(TRIM(UPPER(B23))=TRIM(UPPER(C23)),"Match","Break")))</f>
        <v>Match</v>
      </c>
      <c r="E23" s="27" t="str">
        <f aca="false">IFERROR(INDEX(Client_Master!$D$2:$D$41,MATCH(A23,Client_Master!$A$2:$A$41,0)),"")</f>
        <v>United Arab Emirates</v>
      </c>
      <c r="F23" s="27" t="str">
        <f aca="false">IFERROR(INDEX(Src_CoreBanking!$C$2:$C$41,MATCH(A23,Src_CoreBanking!$A$2:$A$41,0)),"")</f>
        <v>United Arab Emirates</v>
      </c>
      <c r="G23" s="27" t="str">
        <f aca="false">IF(OR(E23="",F23=""),"n/a",IF(E23=F23,"Match","Break"))</f>
        <v>Match</v>
      </c>
      <c r="H23" s="27" t="str">
        <f aca="false">IFERROR(INDEX(Client_Master!$H$2:$H$41,MATCH(A23,Client_Master!$A$2:$A$41,0)),"")</f>
        <v>Medium</v>
      </c>
      <c r="I23" s="27" t="str">
        <f aca="false">IFERROR(INDEX(Src_CoreBanking!$D$2:$D$41,MATCH(A23,Src_CoreBanking!$A$2:$A$41,0)),"")</f>
        <v>Medium</v>
      </c>
      <c r="J23" s="27" t="str">
        <f aca="false">IF(OR(H23="",I23=""),"n/a",IF(H23=I23,"Match","Break"))</f>
        <v>Match</v>
      </c>
      <c r="K23" s="27" t="str">
        <f aca="false">IFERROR(INDEX(Src_CoreBanking!$E$2:$E$41,MATCH(A23,Src_CoreBanking!$A$2:$A$41,0)),"")</f>
        <v>Active</v>
      </c>
      <c r="L23" s="27" t="str">
        <f aca="false">IFERROR(INDEX(Client_Master!$R$2:$R$41,MATCH(A23,Client_Master!$A$2:$A$41,0)),"")</f>
        <v>Complete</v>
      </c>
      <c r="M23" s="27" t="str">
        <f aca="false">IF(OR(D23="Missing in CRM",D23="Missing in Core"),D23,IF(AND(D23="Match",G23="Match",J23="Match"),"Reconciled",TRIM("Break: "&amp;IF(D23&lt;&gt;"Match","Name ","")&amp;IF(G23&lt;&gt;"Match","Country ","")&amp;IF(J23&lt;&gt;"Match","Rating",""))))</f>
        <v>Reconciled</v>
      </c>
      <c r="N23" s="27" t="str">
        <f aca="false">IF(AND(K23="Active",L23&lt;&gt;"",L23&lt;&gt;"Complete"),"Active account - KYC incomplete",IF(AND(K23="Active",L23=""),"Active account - no KYC record",""))</f>
        <v/>
      </c>
    </row>
    <row r="24" customFormat="false" ht="15" hidden="false" customHeight="false" outlineLevel="0" collapsed="false">
      <c r="A24" s="27" t="s">
        <v>263</v>
      </c>
      <c r="B24" s="27" t="str">
        <f aca="false">IFERROR(INDEX(Client_Master!$B$2:$B$41,MATCH(A24,Client_Master!$A$2:$A$41,0)),"")</f>
        <v>Cedar Hill Property Holdings Ltd</v>
      </c>
      <c r="C24" s="27" t="str">
        <f aca="false">IFERROR(INDEX(Src_CoreBanking!$B$2:$B$41,MATCH(A24,Src_CoreBanking!$A$2:$A$41,0)),"")</f>
        <v>Cedar Hill Property Holdings Ltd</v>
      </c>
      <c r="D24" s="27" t="str">
        <f aca="false">IF(B24="","Missing in CRM",IF(C24="","Missing in Core",IF(TRIM(UPPER(B24))=TRIM(UPPER(C24)),"Match","Break")))</f>
        <v>Match</v>
      </c>
      <c r="E24" s="27" t="str">
        <f aca="false">IFERROR(INDEX(Client_Master!$D$2:$D$41,MATCH(A24,Client_Master!$A$2:$A$41,0)),"")</f>
        <v>United Kingdom</v>
      </c>
      <c r="F24" s="27" t="str">
        <f aca="false">IFERROR(INDEX(Src_CoreBanking!$C$2:$C$41,MATCH(A24,Src_CoreBanking!$A$2:$A$41,0)),"")</f>
        <v>United Kingdom</v>
      </c>
      <c r="G24" s="27" t="str">
        <f aca="false">IF(OR(E24="",F24=""),"n/a",IF(E24=F24,"Match","Break"))</f>
        <v>Match</v>
      </c>
      <c r="H24" s="27" t="str">
        <f aca="false">IFERROR(INDEX(Client_Master!$H$2:$H$41,MATCH(A24,Client_Master!$A$2:$A$41,0)),"")</f>
        <v>Low</v>
      </c>
      <c r="I24" s="27" t="str">
        <f aca="false">IFERROR(INDEX(Src_CoreBanking!$D$2:$D$41,MATCH(A24,Src_CoreBanking!$A$2:$A$41,0)),"")</f>
        <v>Low</v>
      </c>
      <c r="J24" s="27" t="str">
        <f aca="false">IF(OR(H24="",I24=""),"n/a",IF(H24=I24,"Match","Break"))</f>
        <v>Match</v>
      </c>
      <c r="K24" s="27" t="str">
        <f aca="false">IFERROR(INDEX(Src_CoreBanking!$E$2:$E$41,MATCH(A24,Src_CoreBanking!$A$2:$A$41,0)),"")</f>
        <v>Active</v>
      </c>
      <c r="L24" s="27" t="str">
        <f aca="false">IFERROR(INDEX(Client_Master!$R$2:$R$41,MATCH(A24,Client_Master!$A$2:$A$41,0)),"")</f>
        <v>Complete</v>
      </c>
      <c r="M24" s="27" t="str">
        <f aca="false">IF(OR(D24="Missing in CRM",D24="Missing in Core"),D24,IF(AND(D24="Match",G24="Match",J24="Match"),"Reconciled",TRIM("Break: "&amp;IF(D24&lt;&gt;"Match","Name ","")&amp;IF(G24&lt;&gt;"Match","Country ","")&amp;IF(J24&lt;&gt;"Match","Rating",""))))</f>
        <v>Reconciled</v>
      </c>
      <c r="N24" s="27" t="str">
        <f aca="false">IF(AND(K24="Active",L24&lt;&gt;"",L24&lt;&gt;"Complete"),"Active account - KYC incomplete",IF(AND(K24="Active",L24=""),"Active account - no KYC record",""))</f>
        <v/>
      </c>
    </row>
    <row r="25" customFormat="false" ht="15" hidden="false" customHeight="false" outlineLevel="0" collapsed="false">
      <c r="A25" s="27" t="s">
        <v>265</v>
      </c>
      <c r="B25" s="27" t="str">
        <f aca="false">IFERROR(INDEX(Client_Master!$B$2:$B$41,MATCH(A25,Client_Master!$A$2:$A$41,0)),"")</f>
        <v>Sunrise Auto Traders LLC</v>
      </c>
      <c r="C25" s="27" t="str">
        <f aca="false">IFERROR(INDEX(Src_CoreBanking!$B$2:$B$41,MATCH(A25,Src_CoreBanking!$A$2:$A$41,0)),"")</f>
        <v>Sunrise Auto Traders LLC</v>
      </c>
      <c r="D25" s="27" t="str">
        <f aca="false">IF(B25="","Missing in CRM",IF(C25="","Missing in Core",IF(TRIM(UPPER(B25))=TRIM(UPPER(C25)),"Match","Break")))</f>
        <v>Match</v>
      </c>
      <c r="E25" s="27" t="str">
        <f aca="false">IFERROR(INDEX(Client_Master!$D$2:$D$41,MATCH(A25,Client_Master!$A$2:$A$41,0)),"")</f>
        <v>United States</v>
      </c>
      <c r="F25" s="27" t="str">
        <f aca="false">IFERROR(INDEX(Src_CoreBanking!$C$2:$C$41,MATCH(A25,Src_CoreBanking!$A$2:$A$41,0)),"")</f>
        <v>United States</v>
      </c>
      <c r="G25" s="27" t="str">
        <f aca="false">IF(OR(E25="",F25=""),"n/a",IF(E25=F25,"Match","Break"))</f>
        <v>Match</v>
      </c>
      <c r="H25" s="27" t="str">
        <f aca="false">IFERROR(INDEX(Client_Master!$H$2:$H$41,MATCH(A25,Client_Master!$A$2:$A$41,0)),"")</f>
        <v>Low</v>
      </c>
      <c r="I25" s="27" t="str">
        <f aca="false">IFERROR(INDEX(Src_CoreBanking!$D$2:$D$41,MATCH(A25,Src_CoreBanking!$A$2:$A$41,0)),"")</f>
        <v>Low</v>
      </c>
      <c r="J25" s="27" t="str">
        <f aca="false">IF(OR(H25="",I25=""),"n/a",IF(H25=I25,"Match","Break"))</f>
        <v>Match</v>
      </c>
      <c r="K25" s="27" t="str">
        <f aca="false">IFERROR(INDEX(Src_CoreBanking!$E$2:$E$41,MATCH(A25,Src_CoreBanking!$A$2:$A$41,0)),"")</f>
        <v>Active</v>
      </c>
      <c r="L25" s="27" t="str">
        <f aca="false">IFERROR(INDEX(Client_Master!$R$2:$R$41,MATCH(A25,Client_Master!$A$2:$A$41,0)),"")</f>
        <v>Incomplete - Docs</v>
      </c>
      <c r="M25" s="27" t="str">
        <f aca="false">IF(OR(D25="Missing in CRM",D25="Missing in Core"),D25,IF(AND(D25="Match",G25="Match",J25="Match"),"Reconciled",TRIM("Break: "&amp;IF(D25&lt;&gt;"Match","Name ","")&amp;IF(G25&lt;&gt;"Match","Country ","")&amp;IF(J25&lt;&gt;"Match","Rating",""))))</f>
        <v>Reconciled</v>
      </c>
      <c r="N25" s="27" t="str">
        <f aca="false">IF(AND(K25="Active",L25&lt;&gt;"",L25&lt;&gt;"Complete"),"Active account - KYC incomplete",IF(AND(K25="Active",L25=""),"Active account - no KYC record",""))</f>
        <v>Active account - KYC incomplete</v>
      </c>
    </row>
    <row r="26" customFormat="false" ht="15" hidden="false" customHeight="false" outlineLevel="0" collapsed="false">
      <c r="A26" s="27" t="s">
        <v>267</v>
      </c>
      <c r="B26" s="27" t="str">
        <f aca="false">IFERROR(INDEX(Client_Master!$B$2:$B$41,MATCH(A26,Client_Master!$A$2:$A$41,0)),"")</f>
        <v>Crescent Remit Services LLP</v>
      </c>
      <c r="C26" s="27" t="str">
        <f aca="false">IFERROR(INDEX(Src_CoreBanking!$B$2:$B$41,MATCH(A26,Src_CoreBanking!$A$2:$A$41,0)),"")</f>
        <v>Crescent Remit Services LLP</v>
      </c>
      <c r="D26" s="27" t="str">
        <f aca="false">IF(B26="","Missing in CRM",IF(C26="","Missing in Core",IF(TRIM(UPPER(B26))=TRIM(UPPER(C26)),"Match","Break")))</f>
        <v>Match</v>
      </c>
      <c r="E26" s="27" t="str">
        <f aca="false">IFERROR(INDEX(Client_Master!$D$2:$D$41,MATCH(A26,Client_Master!$A$2:$A$41,0)),"")</f>
        <v>Nigeria</v>
      </c>
      <c r="F26" s="27" t="str">
        <f aca="false">IFERROR(INDEX(Src_CoreBanking!$C$2:$C$41,MATCH(A26,Src_CoreBanking!$A$2:$A$41,0)),"")</f>
        <v>Nigeria</v>
      </c>
      <c r="G26" s="27" t="str">
        <f aca="false">IF(OR(E26="",F26=""),"n/a",IF(E26=F26,"Match","Break"))</f>
        <v>Match</v>
      </c>
      <c r="H26" s="27" t="str">
        <f aca="false">IFERROR(INDEX(Client_Master!$H$2:$H$41,MATCH(A26,Client_Master!$A$2:$A$41,0)),"")</f>
        <v>High</v>
      </c>
      <c r="I26" s="27" t="str">
        <f aca="false">IFERROR(INDEX(Src_CoreBanking!$D$2:$D$41,MATCH(A26,Src_CoreBanking!$A$2:$A$41,0)),"")</f>
        <v>Medium</v>
      </c>
      <c r="J26" s="27" t="str">
        <f aca="false">IF(OR(H26="",I26=""),"n/a",IF(H26=I26,"Match","Break"))</f>
        <v>Break</v>
      </c>
      <c r="K26" s="27" t="str">
        <f aca="false">IFERROR(INDEX(Src_CoreBanking!$E$2:$E$41,MATCH(A26,Src_CoreBanking!$A$2:$A$41,0)),"")</f>
        <v>Active</v>
      </c>
      <c r="L26" s="27" t="str">
        <f aca="false">IFERROR(INDEX(Client_Master!$R$2:$R$41,MATCH(A26,Client_Master!$A$2:$A$41,0)),"")</f>
        <v>Complete</v>
      </c>
      <c r="M26" s="27" t="str">
        <f aca="false">IF(OR(D26="Missing in CRM",D26="Missing in Core"),D26,IF(AND(D26="Match",G26="Match",J26="Match"),"Reconciled",TRIM("Break: "&amp;IF(D26&lt;&gt;"Match","Name ","")&amp;IF(G26&lt;&gt;"Match","Country ","")&amp;IF(J26&lt;&gt;"Match","Rating",""))))</f>
        <v>Break: Rating</v>
      </c>
      <c r="N26" s="27" t="str">
        <f aca="false">IF(AND(K26="Active",L26&lt;&gt;"",L26&lt;&gt;"Complete"),"Active account - KYC incomplete",IF(AND(K26="Active",L26=""),"Active account - no KYC record",""))</f>
        <v/>
      </c>
    </row>
    <row r="27" customFormat="false" ht="15" hidden="false" customHeight="false" outlineLevel="0" collapsed="false">
      <c r="A27" s="27" t="s">
        <v>269</v>
      </c>
      <c r="B27" s="27" t="str">
        <f aca="false">IFERROR(INDEX(Client_Master!$B$2:$B$41,MATCH(A27,Client_Master!$A$2:$A$41,0)),"")</f>
        <v>Palm Bay Casino Resorts</v>
      </c>
      <c r="C27" s="27" t="str">
        <f aca="false">IFERROR(INDEX(Src_CoreBanking!$B$2:$B$41,MATCH(A27,Src_CoreBanking!$A$2:$A$41,0)),"")</f>
        <v>Palm Bay Casino Resorts</v>
      </c>
      <c r="D27" s="27" t="str">
        <f aca="false">IF(B27="","Missing in CRM",IF(C27="","Missing in Core",IF(TRIM(UPPER(B27))=TRIM(UPPER(C27)),"Match","Break")))</f>
        <v>Match</v>
      </c>
      <c r="E27" s="27" t="str">
        <f aca="false">IFERROR(INDEX(Client_Master!$D$2:$D$41,MATCH(A27,Client_Master!$A$2:$A$41,0)),"")</f>
        <v>Panama</v>
      </c>
      <c r="F27" s="27" t="str">
        <f aca="false">IFERROR(INDEX(Src_CoreBanking!$C$2:$C$41,MATCH(A27,Src_CoreBanking!$A$2:$A$41,0)),"")</f>
        <v>Panama</v>
      </c>
      <c r="G27" s="27" t="str">
        <f aca="false">IF(OR(E27="",F27=""),"n/a",IF(E27=F27,"Match","Break"))</f>
        <v>Match</v>
      </c>
      <c r="H27" s="27" t="str">
        <f aca="false">IFERROR(INDEX(Client_Master!$H$2:$H$41,MATCH(A27,Client_Master!$A$2:$A$41,0)),"")</f>
        <v>Medium</v>
      </c>
      <c r="I27" s="27" t="str">
        <f aca="false">IFERROR(INDEX(Src_CoreBanking!$D$2:$D$41,MATCH(A27,Src_CoreBanking!$A$2:$A$41,0)),"")</f>
        <v>Medium</v>
      </c>
      <c r="J27" s="27" t="str">
        <f aca="false">IF(OR(H27="",I27=""),"n/a",IF(H27=I27,"Match","Break"))</f>
        <v>Match</v>
      </c>
      <c r="K27" s="27" t="str">
        <f aca="false">IFERROR(INDEX(Src_CoreBanking!$E$2:$E$41,MATCH(A27,Src_CoreBanking!$A$2:$A$41,0)),"")</f>
        <v>Active</v>
      </c>
      <c r="L27" s="27" t="str">
        <f aca="false">IFERROR(INDEX(Client_Master!$R$2:$R$41,MATCH(A27,Client_Master!$A$2:$A$41,0)),"")</f>
        <v>Complete</v>
      </c>
      <c r="M27" s="27" t="str">
        <f aca="false">IF(OR(D27="Missing in CRM",D27="Missing in Core"),D27,IF(AND(D27="Match",G27="Match",J27="Match"),"Reconciled",TRIM("Break: "&amp;IF(D27&lt;&gt;"Match","Name ","")&amp;IF(G27&lt;&gt;"Match","Country ","")&amp;IF(J27&lt;&gt;"Match","Rating",""))))</f>
        <v>Reconciled</v>
      </c>
      <c r="N27" s="27" t="str">
        <f aca="false">IF(AND(K27="Active",L27&lt;&gt;"",L27&lt;&gt;"Complete"),"Active account - KYC incomplete",IF(AND(K27="Active",L27=""),"Active account - no KYC record",""))</f>
        <v/>
      </c>
    </row>
    <row r="28" customFormat="false" ht="15" hidden="false" customHeight="false" outlineLevel="0" collapsed="false">
      <c r="A28" s="27" t="s">
        <v>271</v>
      </c>
      <c r="B28" s="27" t="str">
        <f aca="false">IFERROR(INDEX(Client_Master!$B$2:$B$41,MATCH(A28,Client_Master!$A$2:$A$41,0)),"")</f>
        <v>Irrawaddy Trade Links Ltd</v>
      </c>
      <c r="C28" s="27" t="str">
        <f aca="false">IFERROR(INDEX(Src_CoreBanking!$B$2:$B$41,MATCH(A28,Src_CoreBanking!$A$2:$A$41,0)),"")</f>
        <v>Irrawaddy Trade Links Ltd</v>
      </c>
      <c r="D28" s="27" t="str">
        <f aca="false">IF(B28="","Missing in CRM",IF(C28="","Missing in Core",IF(TRIM(UPPER(B28))=TRIM(UPPER(C28)),"Match","Break")))</f>
        <v>Match</v>
      </c>
      <c r="E28" s="27" t="str">
        <f aca="false">IFERROR(INDEX(Client_Master!$D$2:$D$41,MATCH(A28,Client_Master!$A$2:$A$41,0)),"")</f>
        <v>Hong Kong</v>
      </c>
      <c r="F28" s="27" t="str">
        <f aca="false">IFERROR(INDEX(Src_CoreBanking!$C$2:$C$41,MATCH(A28,Src_CoreBanking!$A$2:$A$41,0)),"")</f>
        <v>Hong Kong</v>
      </c>
      <c r="G28" s="27" t="str">
        <f aca="false">IF(OR(E28="",F28=""),"n/a",IF(E28=F28,"Match","Break"))</f>
        <v>Match</v>
      </c>
      <c r="H28" s="27" t="str">
        <f aca="false">IFERROR(INDEX(Client_Master!$H$2:$H$41,MATCH(A28,Client_Master!$A$2:$A$41,0)),"")</f>
        <v>Low</v>
      </c>
      <c r="I28" s="27" t="str">
        <f aca="false">IFERROR(INDEX(Src_CoreBanking!$D$2:$D$41,MATCH(A28,Src_CoreBanking!$A$2:$A$41,0)),"")</f>
        <v>Low</v>
      </c>
      <c r="J28" s="27" t="str">
        <f aca="false">IF(OR(H28="",I28=""),"n/a",IF(H28=I28,"Match","Break"))</f>
        <v>Match</v>
      </c>
      <c r="K28" s="27" t="str">
        <f aca="false">IFERROR(INDEX(Src_CoreBanking!$E$2:$E$41,MATCH(A28,Src_CoreBanking!$A$2:$A$41,0)),"")</f>
        <v>Active</v>
      </c>
      <c r="L28" s="27" t="str">
        <f aca="false">IFERROR(INDEX(Client_Master!$R$2:$R$41,MATCH(A28,Client_Master!$A$2:$A$41,0)),"")</f>
        <v>Complete</v>
      </c>
      <c r="M28" s="27" t="str">
        <f aca="false">IF(OR(D28="Missing in CRM",D28="Missing in Core"),D28,IF(AND(D28="Match",G28="Match",J28="Match"),"Reconciled",TRIM("Break: "&amp;IF(D28&lt;&gt;"Match","Name ","")&amp;IF(G28&lt;&gt;"Match","Country ","")&amp;IF(J28&lt;&gt;"Match","Rating",""))))</f>
        <v>Reconciled</v>
      </c>
      <c r="N28" s="27" t="str">
        <f aca="false">IF(AND(K28="Active",L28&lt;&gt;"",L28&lt;&gt;"Complete"),"Active account - KYC incomplete",IF(AND(K28="Active",L28=""),"Active account - no KYC record",""))</f>
        <v/>
      </c>
    </row>
    <row r="29" customFormat="false" ht="15" hidden="false" customHeight="false" outlineLevel="0" collapsed="false">
      <c r="A29" s="27" t="s">
        <v>273</v>
      </c>
      <c r="B29" s="27" t="str">
        <f aca="false">IFERROR(INDEX(Client_Master!$B$2:$B$41,MATCH(A29,Client_Master!$A$2:$A$41,0)),"")</f>
        <v>Zurich Wealth Advisory AG</v>
      </c>
      <c r="C29" s="27" t="str">
        <f aca="false">IFERROR(INDEX(Src_CoreBanking!$B$2:$B$41,MATCH(A29,Src_CoreBanking!$A$2:$A$41,0)),"")</f>
        <v>Zurich Wealth Advisory AG</v>
      </c>
      <c r="D29" s="27" t="str">
        <f aca="false">IF(B29="","Missing in CRM",IF(C29="","Missing in Core",IF(TRIM(UPPER(B29))=TRIM(UPPER(C29)),"Match","Break")))</f>
        <v>Match</v>
      </c>
      <c r="E29" s="27" t="str">
        <f aca="false">IFERROR(INDEX(Client_Master!$D$2:$D$41,MATCH(A29,Client_Master!$A$2:$A$41,0)),"")</f>
        <v>Switzerland</v>
      </c>
      <c r="F29" s="27" t="str">
        <f aca="false">IFERROR(INDEX(Src_CoreBanking!$C$2:$C$41,MATCH(A29,Src_CoreBanking!$A$2:$A$41,0)),"")</f>
        <v>Switzerland</v>
      </c>
      <c r="G29" s="27" t="str">
        <f aca="false">IF(OR(E29="",F29=""),"n/a",IF(E29=F29,"Match","Break"))</f>
        <v>Match</v>
      </c>
      <c r="H29" s="27" t="str">
        <f aca="false">IFERROR(INDEX(Client_Master!$H$2:$H$41,MATCH(A29,Client_Master!$A$2:$A$41,0)),"")</f>
        <v>Low</v>
      </c>
      <c r="I29" s="27" t="str">
        <f aca="false">IFERROR(INDEX(Src_CoreBanking!$D$2:$D$41,MATCH(A29,Src_CoreBanking!$A$2:$A$41,0)),"")</f>
        <v>Low</v>
      </c>
      <c r="J29" s="27" t="str">
        <f aca="false">IF(OR(H29="",I29=""),"n/a",IF(H29=I29,"Match","Break"))</f>
        <v>Match</v>
      </c>
      <c r="K29" s="27" t="str">
        <f aca="false">IFERROR(INDEX(Src_CoreBanking!$E$2:$E$41,MATCH(A29,Src_CoreBanking!$A$2:$A$41,0)),"")</f>
        <v>Active</v>
      </c>
      <c r="L29" s="27" t="str">
        <f aca="false">IFERROR(INDEX(Client_Master!$R$2:$R$41,MATCH(A29,Client_Master!$A$2:$A$41,0)),"")</f>
        <v>Complete</v>
      </c>
      <c r="M29" s="27" t="str">
        <f aca="false">IF(OR(D29="Missing in CRM",D29="Missing in Core"),D29,IF(AND(D29="Match",G29="Match",J29="Match"),"Reconciled",TRIM("Break: "&amp;IF(D29&lt;&gt;"Match","Name ","")&amp;IF(G29&lt;&gt;"Match","Country ","")&amp;IF(J29&lt;&gt;"Match","Rating",""))))</f>
        <v>Reconciled</v>
      </c>
      <c r="N29" s="27" t="str">
        <f aca="false">IF(AND(K29="Active",L29&lt;&gt;"",L29&lt;&gt;"Complete"),"Active account - KYC incomplete",IF(AND(K29="Active",L29=""),"Active account - no KYC record",""))</f>
        <v/>
      </c>
    </row>
    <row r="30" customFormat="false" ht="15" hidden="false" customHeight="false" outlineLevel="0" collapsed="false">
      <c r="A30" s="27" t="s">
        <v>275</v>
      </c>
      <c r="B30" s="27" t="str">
        <f aca="false">IFERROR(INDEX(Client_Master!$B$2:$B$41,MATCH(A30,Client_Master!$A$2:$A$41,0)),"")</f>
        <v>The Halvorsen Family Trust</v>
      </c>
      <c r="C30" s="27" t="str">
        <f aca="false">IFERROR(INDEX(Src_CoreBanking!$B$2:$B$41,MATCH(A30,Src_CoreBanking!$A$2:$A$41,0)),"")</f>
        <v>The Halvorsen Family Trust</v>
      </c>
      <c r="D30" s="27" t="str">
        <f aca="false">IF(B30="","Missing in CRM",IF(C30="","Missing in Core",IF(TRIM(UPPER(B30))=TRIM(UPPER(C30)),"Match","Break")))</f>
        <v>Match</v>
      </c>
      <c r="E30" s="27" t="str">
        <f aca="false">IFERROR(INDEX(Client_Master!$D$2:$D$41,MATCH(A30,Client_Master!$A$2:$A$41,0)),"")</f>
        <v>Switzerland</v>
      </c>
      <c r="F30" s="27" t="str">
        <f aca="false">IFERROR(INDEX(Src_CoreBanking!$C$2:$C$41,MATCH(A30,Src_CoreBanking!$A$2:$A$41,0)),"")</f>
        <v>Switzerland</v>
      </c>
      <c r="G30" s="27" t="str">
        <f aca="false">IF(OR(E30="",F30=""),"n/a",IF(E30=F30,"Match","Break"))</f>
        <v>Match</v>
      </c>
      <c r="H30" s="27" t="str">
        <f aca="false">IFERROR(INDEX(Client_Master!$H$2:$H$41,MATCH(A30,Client_Master!$A$2:$A$41,0)),"")</f>
        <v>High</v>
      </c>
      <c r="I30" s="27" t="str">
        <f aca="false">IFERROR(INDEX(Src_CoreBanking!$D$2:$D$41,MATCH(A30,Src_CoreBanking!$A$2:$A$41,0)),"")</f>
        <v>High</v>
      </c>
      <c r="J30" s="27" t="str">
        <f aca="false">IF(OR(H30="",I30=""),"n/a",IF(H30=I30,"Match","Break"))</f>
        <v>Match</v>
      </c>
      <c r="K30" s="27" t="str">
        <f aca="false">IFERROR(INDEX(Src_CoreBanking!$E$2:$E$41,MATCH(A30,Src_CoreBanking!$A$2:$A$41,0)),"")</f>
        <v>Active</v>
      </c>
      <c r="L30" s="27" t="str">
        <f aca="false">IFERROR(INDEX(Client_Master!$R$2:$R$41,MATCH(A30,Client_Master!$A$2:$A$41,0)),"")</f>
        <v>Complete</v>
      </c>
      <c r="M30" s="27" t="str">
        <f aca="false">IF(OR(D30="Missing in CRM",D30="Missing in Core"),D30,IF(AND(D30="Match",G30="Match",J30="Match"),"Reconciled",TRIM("Break: "&amp;IF(D30&lt;&gt;"Match","Name ","")&amp;IF(G30&lt;&gt;"Match","Country ","")&amp;IF(J30&lt;&gt;"Match","Rating",""))))</f>
        <v>Reconciled</v>
      </c>
      <c r="N30" s="27" t="str">
        <f aca="false">IF(AND(K30="Active",L30&lt;&gt;"",L30&lt;&gt;"Complete"),"Active account - KYC incomplete",IF(AND(K30="Active",L30=""),"Active account - no KYC record",""))</f>
        <v/>
      </c>
    </row>
    <row r="31" customFormat="false" ht="15" hidden="false" customHeight="false" outlineLevel="0" collapsed="false">
      <c r="A31" s="27" t="s">
        <v>277</v>
      </c>
      <c r="B31" s="27" t="str">
        <f aca="false">IFERROR(INDEX(Client_Master!$B$2:$B$41,MATCH(A31,Client_Master!$A$2:$A$41,0)),"")</f>
        <v>Delta Cloud Systems Pvt Ltd</v>
      </c>
      <c r="C31" s="27" t="str">
        <f aca="false">IFERROR(INDEX(Src_CoreBanking!$B$2:$B$41,MATCH(A31,Src_CoreBanking!$A$2:$A$41,0)),"")</f>
        <v>Delta Cloud Systems Pvt Ltd</v>
      </c>
      <c r="D31" s="27" t="str">
        <f aca="false">IF(B31="","Missing in CRM",IF(C31="","Missing in Core",IF(TRIM(UPPER(B31))=TRIM(UPPER(C31)),"Match","Break")))</f>
        <v>Match</v>
      </c>
      <c r="E31" s="27" t="str">
        <f aca="false">IFERROR(INDEX(Client_Master!$D$2:$D$41,MATCH(A31,Client_Master!$A$2:$A$41,0)),"")</f>
        <v>India</v>
      </c>
      <c r="F31" s="27" t="str">
        <f aca="false">IFERROR(INDEX(Src_CoreBanking!$C$2:$C$41,MATCH(A31,Src_CoreBanking!$A$2:$A$41,0)),"")</f>
        <v>India</v>
      </c>
      <c r="G31" s="27" t="str">
        <f aca="false">IF(OR(E31="",F31=""),"n/a",IF(E31=F31,"Match","Break"))</f>
        <v>Match</v>
      </c>
      <c r="H31" s="27" t="str">
        <f aca="false">IFERROR(INDEX(Client_Master!$H$2:$H$41,MATCH(A31,Client_Master!$A$2:$A$41,0)),"")</f>
        <v>Low</v>
      </c>
      <c r="I31" s="27" t="str">
        <f aca="false">IFERROR(INDEX(Src_CoreBanking!$D$2:$D$41,MATCH(A31,Src_CoreBanking!$A$2:$A$41,0)),"")</f>
        <v>Low</v>
      </c>
      <c r="J31" s="27" t="str">
        <f aca="false">IF(OR(H31="",I31=""),"n/a",IF(H31=I31,"Match","Break"))</f>
        <v>Match</v>
      </c>
      <c r="K31" s="27" t="str">
        <f aca="false">IFERROR(INDEX(Src_CoreBanking!$E$2:$E$41,MATCH(A31,Src_CoreBanking!$A$2:$A$41,0)),"")</f>
        <v>Active</v>
      </c>
      <c r="L31" s="27" t="str">
        <f aca="false">IFERROR(INDEX(Client_Master!$R$2:$R$41,MATCH(A31,Client_Master!$A$2:$A$41,0)),"")</f>
        <v>Complete</v>
      </c>
      <c r="M31" s="27" t="str">
        <f aca="false">IF(OR(D31="Missing in CRM",D31="Missing in Core"),D31,IF(AND(D31="Match",G31="Match",J31="Match"),"Reconciled",TRIM("Break: "&amp;IF(D31&lt;&gt;"Match","Name ","")&amp;IF(G31&lt;&gt;"Match","Country ","")&amp;IF(J31&lt;&gt;"Match","Rating",""))))</f>
        <v>Reconciled</v>
      </c>
      <c r="N31" s="27" t="str">
        <f aca="false">IF(AND(K31="Active",L31&lt;&gt;"",L31&lt;&gt;"Complete"),"Active account - KYC incomplete",IF(AND(K31="Active",L31=""),"Active account - no KYC record",""))</f>
        <v/>
      </c>
    </row>
    <row r="32" customFormat="false" ht="15" hidden="false" customHeight="false" outlineLevel="0" collapsed="false">
      <c r="A32" s="27" t="s">
        <v>279</v>
      </c>
      <c r="B32" s="27" t="str">
        <f aca="false">IFERROR(INDEX(Client_Master!$B$2:$B$41,MATCH(A32,Client_Master!$A$2:$A$41,0)),"")</f>
        <v>Meridian Textile Exports Pvt Ltd</v>
      </c>
      <c r="C32" s="27" t="str">
        <f aca="false">IFERROR(INDEX(Src_CoreBanking!$B$2:$B$41,MATCH(A32,Src_CoreBanking!$A$2:$A$41,0)),"")</f>
        <v>Meridian Textile Exports Pvt Ltd</v>
      </c>
      <c r="D32" s="27" t="str">
        <f aca="false">IF(B32="","Missing in CRM",IF(C32="","Missing in Core",IF(TRIM(UPPER(B32))=TRIM(UPPER(C32)),"Match","Break")))</f>
        <v>Match</v>
      </c>
      <c r="E32" s="27" t="str">
        <f aca="false">IFERROR(INDEX(Client_Master!$D$2:$D$41,MATCH(A32,Client_Master!$A$2:$A$41,0)),"")</f>
        <v>India</v>
      </c>
      <c r="F32" s="27" t="str">
        <f aca="false">IFERROR(INDEX(Src_CoreBanking!$C$2:$C$41,MATCH(A32,Src_CoreBanking!$A$2:$A$41,0)),"")</f>
        <v>India</v>
      </c>
      <c r="G32" s="27" t="str">
        <f aca="false">IF(OR(E32="",F32=""),"n/a",IF(E32=F32,"Match","Break"))</f>
        <v>Match</v>
      </c>
      <c r="H32" s="27" t="str">
        <f aca="false">IFERROR(INDEX(Client_Master!$H$2:$H$41,MATCH(A32,Client_Master!$A$2:$A$41,0)),"")</f>
        <v>Low</v>
      </c>
      <c r="I32" s="27" t="str">
        <f aca="false">IFERROR(INDEX(Src_CoreBanking!$D$2:$D$41,MATCH(A32,Src_CoreBanking!$A$2:$A$41,0)),"")</f>
        <v>Low</v>
      </c>
      <c r="J32" s="27" t="str">
        <f aca="false">IF(OR(H32="",I32=""),"n/a",IF(H32=I32,"Match","Break"))</f>
        <v>Match</v>
      </c>
      <c r="K32" s="27" t="str">
        <f aca="false">IFERROR(INDEX(Src_CoreBanking!$E$2:$E$41,MATCH(A32,Src_CoreBanking!$A$2:$A$41,0)),"")</f>
        <v>Active</v>
      </c>
      <c r="L32" s="27" t="str">
        <f aca="false">IFERROR(INDEX(Client_Master!$R$2:$R$41,MATCH(A32,Client_Master!$A$2:$A$41,0)),"")</f>
        <v>Complete</v>
      </c>
      <c r="M32" s="27" t="str">
        <f aca="false">IF(OR(D32="Missing in CRM",D32="Missing in Core"),D32,IF(AND(D32="Match",G32="Match",J32="Match"),"Reconciled",TRIM("Break: "&amp;IF(D32&lt;&gt;"Match","Name ","")&amp;IF(G32&lt;&gt;"Match","Country ","")&amp;IF(J32&lt;&gt;"Match","Rating",""))))</f>
        <v>Reconciled</v>
      </c>
      <c r="N32" s="27" t="str">
        <f aca="false">IF(AND(K32="Active",L32&lt;&gt;"",L32&lt;&gt;"Complete"),"Active account - KYC incomplete",IF(AND(K32="Active",L32=""),"Active account - no KYC record",""))</f>
        <v/>
      </c>
    </row>
    <row r="33" customFormat="false" ht="15" hidden="false" customHeight="false" outlineLevel="0" collapsed="false">
      <c r="A33" s="27" t="s">
        <v>280</v>
      </c>
      <c r="B33" s="27" t="str">
        <f aca="false">IFERROR(INDEX(Client_Master!$B$2:$B$41,MATCH(A33,Client_Master!$A$2:$A$41,0)),"")</f>
        <v>Anatolia Steel Works AS</v>
      </c>
      <c r="C33" s="27" t="str">
        <f aca="false">IFERROR(INDEX(Src_CoreBanking!$B$2:$B$41,MATCH(A33,Src_CoreBanking!$A$2:$A$41,0)),"")</f>
        <v>Anatolia Steel Works AS</v>
      </c>
      <c r="D33" s="27" t="str">
        <f aca="false">IF(B33="","Missing in CRM",IF(C33="","Missing in Core",IF(TRIM(UPPER(B33))=TRIM(UPPER(C33)),"Match","Break")))</f>
        <v>Match</v>
      </c>
      <c r="E33" s="27" t="str">
        <f aca="false">IFERROR(INDEX(Client_Master!$D$2:$D$41,MATCH(A33,Client_Master!$A$2:$A$41,0)),"")</f>
        <v>Turkey</v>
      </c>
      <c r="F33" s="27" t="str">
        <f aca="false">IFERROR(INDEX(Src_CoreBanking!$C$2:$C$41,MATCH(A33,Src_CoreBanking!$A$2:$A$41,0)),"")</f>
        <v>Turkey</v>
      </c>
      <c r="G33" s="27" t="str">
        <f aca="false">IF(OR(E33="",F33=""),"n/a",IF(E33=F33,"Match","Break"))</f>
        <v>Match</v>
      </c>
      <c r="H33" s="27" t="str">
        <f aca="false">IFERROR(INDEX(Client_Master!$H$2:$H$41,MATCH(A33,Client_Master!$A$2:$A$41,0)),"")</f>
        <v>Low</v>
      </c>
      <c r="I33" s="27" t="str">
        <f aca="false">IFERROR(INDEX(Src_CoreBanking!$D$2:$D$41,MATCH(A33,Src_CoreBanking!$A$2:$A$41,0)),"")</f>
        <v>Low</v>
      </c>
      <c r="J33" s="27" t="str">
        <f aca="false">IF(OR(H33="",I33=""),"n/a",IF(H33=I33,"Match","Break"))</f>
        <v>Match</v>
      </c>
      <c r="K33" s="27" t="str">
        <f aca="false">IFERROR(INDEX(Src_CoreBanking!$E$2:$E$41,MATCH(A33,Src_CoreBanking!$A$2:$A$41,0)),"")</f>
        <v>Active</v>
      </c>
      <c r="L33" s="27" t="str">
        <f aca="false">IFERROR(INDEX(Client_Master!$R$2:$R$41,MATCH(A33,Client_Master!$A$2:$A$41,0)),"")</f>
        <v>Complete</v>
      </c>
      <c r="M33" s="27" t="str">
        <f aca="false">IF(OR(D33="Missing in CRM",D33="Missing in Core"),D33,IF(AND(D33="Match",G33="Match",J33="Match"),"Reconciled",TRIM("Break: "&amp;IF(D33&lt;&gt;"Match","Name ","")&amp;IF(G33&lt;&gt;"Match","Country ","")&amp;IF(J33&lt;&gt;"Match","Rating",""))))</f>
        <v>Reconciled</v>
      </c>
      <c r="N33" s="27" t="str">
        <f aca="false">IF(AND(K33="Active",L33&lt;&gt;"",L33&lt;&gt;"Complete"),"Active account - KYC incomplete",IF(AND(K33="Active",L33=""),"Active account - no KYC record",""))</f>
        <v/>
      </c>
    </row>
    <row r="34" customFormat="false" ht="15" hidden="false" customHeight="false" outlineLevel="0" collapsed="false">
      <c r="A34" s="27" t="s">
        <v>282</v>
      </c>
      <c r="B34" s="27" t="str">
        <f aca="false">IFERROR(INDEX(Client_Master!$B$2:$B$41,MATCH(A34,Client_Master!$A$2:$A$41,0)),"")</f>
        <v>Lakeview Medical Supplies Inc</v>
      </c>
      <c r="C34" s="27" t="str">
        <f aca="false">IFERROR(INDEX(Src_CoreBanking!$B$2:$B$41,MATCH(A34,Src_CoreBanking!$A$2:$A$41,0)),"")</f>
        <v>Lakeview Medical Supplies Inc</v>
      </c>
      <c r="D34" s="27" t="str">
        <f aca="false">IF(B34="","Missing in CRM",IF(C34="","Missing in Core",IF(TRIM(UPPER(B34))=TRIM(UPPER(C34)),"Match","Break")))</f>
        <v>Match</v>
      </c>
      <c r="E34" s="27" t="str">
        <f aca="false">IFERROR(INDEX(Client_Master!$D$2:$D$41,MATCH(A34,Client_Master!$A$2:$A$41,0)),"")</f>
        <v>Canada</v>
      </c>
      <c r="F34" s="27" t="str">
        <f aca="false">IFERROR(INDEX(Src_CoreBanking!$C$2:$C$41,MATCH(A34,Src_CoreBanking!$A$2:$A$41,0)),"")</f>
        <v>Canada</v>
      </c>
      <c r="G34" s="27" t="str">
        <f aca="false">IF(OR(E34="",F34=""),"n/a",IF(E34=F34,"Match","Break"))</f>
        <v>Match</v>
      </c>
      <c r="H34" s="27" t="str">
        <f aca="false">IFERROR(INDEX(Client_Master!$H$2:$H$41,MATCH(A34,Client_Master!$A$2:$A$41,0)),"")</f>
        <v>Low</v>
      </c>
      <c r="I34" s="27" t="str">
        <f aca="false">IFERROR(INDEX(Src_CoreBanking!$D$2:$D$41,MATCH(A34,Src_CoreBanking!$A$2:$A$41,0)),"")</f>
        <v>Low</v>
      </c>
      <c r="J34" s="27" t="str">
        <f aca="false">IF(OR(H34="",I34=""),"n/a",IF(H34=I34,"Match","Break"))</f>
        <v>Match</v>
      </c>
      <c r="K34" s="27" t="str">
        <f aca="false">IFERROR(INDEX(Src_CoreBanking!$E$2:$E$41,MATCH(A34,Src_CoreBanking!$A$2:$A$41,0)),"")</f>
        <v>Active</v>
      </c>
      <c r="L34" s="27" t="str">
        <f aca="false">IFERROR(INDEX(Client_Master!$R$2:$R$41,MATCH(A34,Client_Master!$A$2:$A$41,0)),"")</f>
        <v>Incomplete - Docs</v>
      </c>
      <c r="M34" s="27" t="str">
        <f aca="false">IF(OR(D34="Missing in CRM",D34="Missing in Core"),D34,IF(AND(D34="Match",G34="Match",J34="Match"),"Reconciled",TRIM("Break: "&amp;IF(D34&lt;&gt;"Match","Name ","")&amp;IF(G34&lt;&gt;"Match","Country ","")&amp;IF(J34&lt;&gt;"Match","Rating",""))))</f>
        <v>Reconciled</v>
      </c>
      <c r="N34" s="27" t="str">
        <f aca="false">IF(AND(K34="Active",L34&lt;&gt;"",L34&lt;&gt;"Complete"),"Active account - KYC incomplete",IF(AND(K34="Active",L34=""),"Active account - no KYC record",""))</f>
        <v>Active account - KYC incomplete</v>
      </c>
    </row>
    <row r="35" customFormat="false" ht="15" hidden="false" customHeight="false" outlineLevel="0" collapsed="false">
      <c r="A35" s="27" t="s">
        <v>284</v>
      </c>
      <c r="B35" s="27" t="str">
        <f aca="false">IFERROR(INDEX(Client_Master!$B$2:$B$41,MATCH(A35,Client_Master!$A$2:$A$41,0)),"")</f>
        <v>Skyline Hospitality Group Ltd</v>
      </c>
      <c r="C35" s="27" t="str">
        <f aca="false">IFERROR(INDEX(Src_CoreBanking!$B$2:$B$41,MATCH(A35,Src_CoreBanking!$A$2:$A$41,0)),"")</f>
        <v/>
      </c>
      <c r="D35" s="27" t="str">
        <f aca="false">IF(B35="","Missing in CRM",IF(C35="","Missing in Core",IF(TRIM(UPPER(B35))=TRIM(UPPER(C35)),"Match","Break")))</f>
        <v>Missing in Core</v>
      </c>
      <c r="E35" s="27" t="str">
        <f aca="false">IFERROR(INDEX(Client_Master!$D$2:$D$41,MATCH(A35,Client_Master!$A$2:$A$41,0)),"")</f>
        <v>India</v>
      </c>
      <c r="F35" s="27" t="str">
        <f aca="false">IFERROR(INDEX(Src_CoreBanking!$C$2:$C$41,MATCH(A35,Src_CoreBanking!$A$2:$A$41,0)),"")</f>
        <v/>
      </c>
      <c r="G35" s="27" t="str">
        <f aca="false">IF(OR(E35="",F35=""),"n/a",IF(E35=F35,"Match","Break"))</f>
        <v>n/a</v>
      </c>
      <c r="H35" s="27" t="str">
        <f aca="false">IFERROR(INDEX(Client_Master!$H$2:$H$41,MATCH(A35,Client_Master!$A$2:$A$41,0)),"")</f>
        <v>Low</v>
      </c>
      <c r="I35" s="27" t="str">
        <f aca="false">IFERROR(INDEX(Src_CoreBanking!$D$2:$D$41,MATCH(A35,Src_CoreBanking!$A$2:$A$41,0)),"")</f>
        <v/>
      </c>
      <c r="J35" s="27" t="str">
        <f aca="false">IF(OR(H35="",I35=""),"n/a",IF(H35=I35,"Match","Break"))</f>
        <v>n/a</v>
      </c>
      <c r="K35" s="27" t="str">
        <f aca="false">IFERROR(INDEX(Src_CoreBanking!$E$2:$E$41,MATCH(A35,Src_CoreBanking!$A$2:$A$41,0)),"")</f>
        <v/>
      </c>
      <c r="L35" s="27" t="str">
        <f aca="false">IFERROR(INDEX(Client_Master!$R$2:$R$41,MATCH(A35,Client_Master!$A$2:$A$41,0)),"")</f>
        <v>Complete</v>
      </c>
      <c r="M35" s="27" t="str">
        <f aca="false">IF(OR(D35="Missing in CRM",D35="Missing in Core"),D35,IF(AND(D35="Match",G35="Match",J35="Match"),"Reconciled",TRIM("Break: "&amp;IF(D35&lt;&gt;"Match","Name ","")&amp;IF(G35&lt;&gt;"Match","Country ","")&amp;IF(J35&lt;&gt;"Match","Rating",""))))</f>
        <v>Missing in Core</v>
      </c>
      <c r="N35" s="27" t="str">
        <f aca="false">IF(AND(K35="Active",L35&lt;&gt;"",L35&lt;&gt;"Complete"),"Active account - KYC incomplete",IF(AND(K35="Active",L35=""),"Active account - no KYC record",""))</f>
        <v/>
      </c>
    </row>
    <row r="36" customFormat="false" ht="15" hidden="false" customHeight="false" outlineLevel="0" collapsed="false">
      <c r="A36" s="27" t="s">
        <v>286</v>
      </c>
      <c r="B36" s="27" t="str">
        <f aca="false">IFERROR(INDEX(Client_Master!$B$2:$B$41,MATCH(A36,Client_Master!$A$2:$A$41,0)),"")</f>
        <v>Granite Peak Mining Services Ltd</v>
      </c>
      <c r="C36" s="27" t="str">
        <f aca="false">IFERROR(INDEX(Src_CoreBanking!$B$2:$B$41,MATCH(A36,Src_CoreBanking!$A$2:$A$41,0)),"")</f>
        <v>Granite Peak Mining Services Ltd</v>
      </c>
      <c r="D36" s="27" t="str">
        <f aca="false">IF(B36="","Missing in CRM",IF(C36="","Missing in Core",IF(TRIM(UPPER(B36))=TRIM(UPPER(C36)),"Match","Break")))</f>
        <v>Match</v>
      </c>
      <c r="E36" s="27" t="str">
        <f aca="false">IFERROR(INDEX(Client_Master!$D$2:$D$41,MATCH(A36,Client_Master!$A$2:$A$41,0)),"")</f>
        <v>Canada</v>
      </c>
      <c r="F36" s="27" t="str">
        <f aca="false">IFERROR(INDEX(Src_CoreBanking!$C$2:$C$41,MATCH(A36,Src_CoreBanking!$A$2:$A$41,0)),"")</f>
        <v>Canada</v>
      </c>
      <c r="G36" s="27" t="str">
        <f aca="false">IF(OR(E36="",F36=""),"n/a",IF(E36=F36,"Match","Break"))</f>
        <v>Match</v>
      </c>
      <c r="H36" s="27" t="str">
        <f aca="false">IFERROR(INDEX(Client_Master!$H$2:$H$41,MATCH(A36,Client_Master!$A$2:$A$41,0)),"")</f>
        <v>Low</v>
      </c>
      <c r="I36" s="27" t="str">
        <f aca="false">IFERROR(INDEX(Src_CoreBanking!$D$2:$D$41,MATCH(A36,Src_CoreBanking!$A$2:$A$41,0)),"")</f>
        <v>Low</v>
      </c>
      <c r="J36" s="27" t="str">
        <f aca="false">IF(OR(H36="",I36=""),"n/a",IF(H36=I36,"Match","Break"))</f>
        <v>Match</v>
      </c>
      <c r="K36" s="27" t="str">
        <f aca="false">IFERROR(INDEX(Src_CoreBanking!$E$2:$E$41,MATCH(A36,Src_CoreBanking!$A$2:$A$41,0)),"")</f>
        <v>Active</v>
      </c>
      <c r="L36" s="27" t="str">
        <f aca="false">IFERROR(INDEX(Client_Master!$R$2:$R$41,MATCH(A36,Client_Master!$A$2:$A$41,0)),"")</f>
        <v>Complete</v>
      </c>
      <c r="M36" s="27" t="str">
        <f aca="false">IF(OR(D36="Missing in CRM",D36="Missing in Core"),D36,IF(AND(D36="Match",G36="Match",J36="Match"),"Reconciled",TRIM("Break: "&amp;IF(D36&lt;&gt;"Match","Name ","")&amp;IF(G36&lt;&gt;"Match","Country ","")&amp;IF(J36&lt;&gt;"Match","Rating",""))))</f>
        <v>Reconciled</v>
      </c>
      <c r="N36" s="27" t="str">
        <f aca="false">IF(AND(K36="Active",L36&lt;&gt;"",L36&lt;&gt;"Complete"),"Active account - KYC incomplete",IF(AND(K36="Active",L36=""),"Active account - no KYC record",""))</f>
        <v/>
      </c>
    </row>
    <row r="37" customFormat="false" ht="15" hidden="false" customHeight="false" outlineLevel="0" collapsed="false">
      <c r="A37" s="27" t="s">
        <v>288</v>
      </c>
      <c r="B37" s="27" t="str">
        <f aca="false">IFERROR(INDEX(Client_Master!$B$2:$B$41,MATCH(A37,Client_Master!$A$2:$A$41,0)),"")</f>
        <v>Baltic Star Shipping Ltd</v>
      </c>
      <c r="C37" s="27" t="str">
        <f aca="false">IFERROR(INDEX(Src_CoreBanking!$B$2:$B$41,MATCH(A37,Src_CoreBanking!$A$2:$A$41,0)),"")</f>
        <v>Baltic Star Shipping Ltd</v>
      </c>
      <c r="D37" s="27" t="str">
        <f aca="false">IF(B37="","Missing in CRM",IF(C37="","Missing in Core",IF(TRIM(UPPER(B37))=TRIM(UPPER(C37)),"Match","Break")))</f>
        <v>Match</v>
      </c>
      <c r="E37" s="27" t="str">
        <f aca="false">IFERROR(INDEX(Client_Master!$D$2:$D$41,MATCH(A37,Client_Master!$A$2:$A$41,0)),"")</f>
        <v>Cyprus</v>
      </c>
      <c r="F37" s="27" t="str">
        <f aca="false">IFERROR(INDEX(Src_CoreBanking!$C$2:$C$41,MATCH(A37,Src_CoreBanking!$A$2:$A$41,0)),"")</f>
        <v>Cyprus</v>
      </c>
      <c r="G37" s="27" t="str">
        <f aca="false">IF(OR(E37="",F37=""),"n/a",IF(E37=F37,"Match","Break"))</f>
        <v>Match</v>
      </c>
      <c r="H37" s="27" t="str">
        <f aca="false">IFERROR(INDEX(Client_Master!$H$2:$H$41,MATCH(A37,Client_Master!$A$2:$A$41,0)),"")</f>
        <v>Low</v>
      </c>
      <c r="I37" s="27" t="str">
        <f aca="false">IFERROR(INDEX(Src_CoreBanking!$D$2:$D$41,MATCH(A37,Src_CoreBanking!$A$2:$A$41,0)),"")</f>
        <v>Low</v>
      </c>
      <c r="J37" s="27" t="str">
        <f aca="false">IF(OR(H37="",I37=""),"n/a",IF(H37=I37,"Match","Break"))</f>
        <v>Match</v>
      </c>
      <c r="K37" s="27" t="str">
        <f aca="false">IFERROR(INDEX(Src_CoreBanking!$E$2:$E$41,MATCH(A37,Src_CoreBanking!$A$2:$A$41,0)),"")</f>
        <v>Active</v>
      </c>
      <c r="L37" s="27" t="str">
        <f aca="false">IFERROR(INDEX(Client_Master!$R$2:$R$41,MATCH(A37,Client_Master!$A$2:$A$41,0)),"")</f>
        <v>Incomplete - Screening</v>
      </c>
      <c r="M37" s="27" t="str">
        <f aca="false">IF(OR(D37="Missing in CRM",D37="Missing in Core"),D37,IF(AND(D37="Match",G37="Match",J37="Match"),"Reconciled",TRIM("Break: "&amp;IF(D37&lt;&gt;"Match","Name ","")&amp;IF(G37&lt;&gt;"Match","Country ","")&amp;IF(J37&lt;&gt;"Match","Rating",""))))</f>
        <v>Reconciled</v>
      </c>
      <c r="N37" s="27" t="str">
        <f aca="false">IF(AND(K37="Active",L37&lt;&gt;"",L37&lt;&gt;"Complete"),"Active account - KYC incomplete",IF(AND(K37="Active",L37=""),"Active account - no KYC record",""))</f>
        <v>Active account - KYC incomplete</v>
      </c>
    </row>
    <row r="38" customFormat="false" ht="15" hidden="false" customHeight="false" outlineLevel="0" collapsed="false">
      <c r="A38" s="27" t="s">
        <v>291</v>
      </c>
      <c r="B38" s="27" t="str">
        <f aca="false">IFERROR(INDEX(Client_Master!$B$2:$B$41,MATCH(A38,Client_Master!$A$2:$A$41,0)),"")</f>
        <v>Emerald Isle Software Ltd</v>
      </c>
      <c r="C38" s="27" t="str">
        <f aca="false">IFERROR(INDEX(Src_CoreBanking!$B$2:$B$41,MATCH(A38,Src_CoreBanking!$A$2:$A$41,0)),"")</f>
        <v>Emerald Isle Software Ltd</v>
      </c>
      <c r="D38" s="27" t="str">
        <f aca="false">IF(B38="","Missing in CRM",IF(C38="","Missing in Core",IF(TRIM(UPPER(B38))=TRIM(UPPER(C38)),"Match","Break")))</f>
        <v>Match</v>
      </c>
      <c r="E38" s="27" t="str">
        <f aca="false">IFERROR(INDEX(Client_Master!$D$2:$D$41,MATCH(A38,Client_Master!$A$2:$A$41,0)),"")</f>
        <v>United Kingdom</v>
      </c>
      <c r="F38" s="27" t="str">
        <f aca="false">IFERROR(INDEX(Src_CoreBanking!$C$2:$C$41,MATCH(A38,Src_CoreBanking!$A$2:$A$41,0)),"")</f>
        <v>United Kingdom</v>
      </c>
      <c r="G38" s="27" t="str">
        <f aca="false">IF(OR(E38="",F38=""),"n/a",IF(E38=F38,"Match","Break"))</f>
        <v>Match</v>
      </c>
      <c r="H38" s="27" t="str">
        <f aca="false">IFERROR(INDEX(Client_Master!$H$2:$H$41,MATCH(A38,Client_Master!$A$2:$A$41,0)),"")</f>
        <v>Low</v>
      </c>
      <c r="I38" s="27" t="str">
        <f aca="false">IFERROR(INDEX(Src_CoreBanking!$D$2:$D$41,MATCH(A38,Src_CoreBanking!$A$2:$A$41,0)),"")</f>
        <v>Low</v>
      </c>
      <c r="J38" s="27" t="str">
        <f aca="false">IF(OR(H38="",I38=""),"n/a",IF(H38=I38,"Match","Break"))</f>
        <v>Match</v>
      </c>
      <c r="K38" s="27" t="str">
        <f aca="false">IFERROR(INDEX(Src_CoreBanking!$E$2:$E$41,MATCH(A38,Src_CoreBanking!$A$2:$A$41,0)),"")</f>
        <v>Active</v>
      </c>
      <c r="L38" s="27" t="str">
        <f aca="false">IFERROR(INDEX(Client_Master!$R$2:$R$41,MATCH(A38,Client_Master!$A$2:$A$41,0)),"")</f>
        <v>Complete</v>
      </c>
      <c r="M38" s="27" t="str">
        <f aca="false">IF(OR(D38="Missing in CRM",D38="Missing in Core"),D38,IF(AND(D38="Match",G38="Match",J38="Match"),"Reconciled",TRIM("Break: "&amp;IF(D38&lt;&gt;"Match","Name ","")&amp;IF(G38&lt;&gt;"Match","Country ","")&amp;IF(J38&lt;&gt;"Match","Rating",""))))</f>
        <v>Reconciled</v>
      </c>
      <c r="N38" s="27" t="str">
        <f aca="false">IF(AND(K38="Active",L38&lt;&gt;"",L38&lt;&gt;"Complete"),"Active account - KYC incomplete",IF(AND(K38="Active",L38=""),"Active account - no KYC record",""))</f>
        <v/>
      </c>
    </row>
    <row r="39" customFormat="false" ht="15" hidden="false" customHeight="false" outlineLevel="0" collapsed="false">
      <c r="A39" s="27" t="s">
        <v>293</v>
      </c>
      <c r="B39" s="27" t="str">
        <f aca="false">IFERROR(INDEX(Client_Master!$B$2:$B$41,MATCH(A39,Client_Master!$A$2:$A$41,0)),"")</f>
        <v>Zenith Wellness Clinics Pvt Ltd</v>
      </c>
      <c r="C39" s="27" t="str">
        <f aca="false">IFERROR(INDEX(Src_CoreBanking!$B$2:$B$41,MATCH(A39,Src_CoreBanking!$A$2:$A$41,0)),"")</f>
        <v>Zenith Wellness Clinics Pvt Ltd</v>
      </c>
      <c r="D39" s="27" t="str">
        <f aca="false">IF(B39="","Missing in CRM",IF(C39="","Missing in Core",IF(TRIM(UPPER(B39))=TRIM(UPPER(C39)),"Match","Break")))</f>
        <v>Match</v>
      </c>
      <c r="E39" s="27" t="str">
        <f aca="false">IFERROR(INDEX(Client_Master!$D$2:$D$41,MATCH(A39,Client_Master!$A$2:$A$41,0)),"")</f>
        <v>India</v>
      </c>
      <c r="F39" s="27" t="str">
        <f aca="false">IFERROR(INDEX(Src_CoreBanking!$C$2:$C$41,MATCH(A39,Src_CoreBanking!$A$2:$A$41,0)),"")</f>
        <v>India</v>
      </c>
      <c r="G39" s="27" t="str">
        <f aca="false">IF(OR(E39="",F39=""),"n/a",IF(E39=F39,"Match","Break"))</f>
        <v>Match</v>
      </c>
      <c r="H39" s="27" t="str">
        <f aca="false">IFERROR(INDEX(Client_Master!$H$2:$H$41,MATCH(A39,Client_Master!$A$2:$A$41,0)),"")</f>
        <v>Low</v>
      </c>
      <c r="I39" s="27" t="str">
        <f aca="false">IFERROR(INDEX(Src_CoreBanking!$D$2:$D$41,MATCH(A39,Src_CoreBanking!$A$2:$A$41,0)),"")</f>
        <v>Low</v>
      </c>
      <c r="J39" s="27" t="str">
        <f aca="false">IF(OR(H39="",I39=""),"n/a",IF(H39=I39,"Match","Break"))</f>
        <v>Match</v>
      </c>
      <c r="K39" s="27" t="str">
        <f aca="false">IFERROR(INDEX(Src_CoreBanking!$E$2:$E$41,MATCH(A39,Src_CoreBanking!$A$2:$A$41,0)),"")</f>
        <v>Active</v>
      </c>
      <c r="L39" s="27" t="str">
        <f aca="false">IFERROR(INDEX(Client_Master!$R$2:$R$41,MATCH(A39,Client_Master!$A$2:$A$41,0)),"")</f>
        <v>Incomplete - Docs</v>
      </c>
      <c r="M39" s="27" t="str">
        <f aca="false">IF(OR(D39="Missing in CRM",D39="Missing in Core"),D39,IF(AND(D39="Match",G39="Match",J39="Match"),"Reconciled",TRIM("Break: "&amp;IF(D39&lt;&gt;"Match","Name ","")&amp;IF(G39&lt;&gt;"Match","Country ","")&amp;IF(J39&lt;&gt;"Match","Rating",""))))</f>
        <v>Reconciled</v>
      </c>
      <c r="N39" s="27" t="str">
        <f aca="false">IF(AND(K39="Active",L39&lt;&gt;"",L39&lt;&gt;"Complete"),"Active account - KYC incomplete",IF(AND(K39="Active",L39=""),"Active account - no KYC record",""))</f>
        <v>Active account - KYC incomplete</v>
      </c>
    </row>
    <row r="40" customFormat="false" ht="15" hidden="false" customHeight="false" outlineLevel="0" collapsed="false">
      <c r="A40" s="27" t="s">
        <v>296</v>
      </c>
      <c r="B40" s="27" t="str">
        <f aca="false">IFERROR(INDEX(Client_Master!$B$2:$B$41,MATCH(A40,Client_Master!$A$2:$A$41,0)),"")</f>
        <v>Ridgeway Used Cars Ltd</v>
      </c>
      <c r="C40" s="27" t="str">
        <f aca="false">IFERROR(INDEX(Src_CoreBanking!$B$2:$B$41,MATCH(A40,Src_CoreBanking!$A$2:$A$41,0)),"")</f>
        <v>Ridgeway Used Cars Ltd</v>
      </c>
      <c r="D40" s="27" t="str">
        <f aca="false">IF(B40="","Missing in CRM",IF(C40="","Missing in Core",IF(TRIM(UPPER(B40))=TRIM(UPPER(C40)),"Match","Break")))</f>
        <v>Match</v>
      </c>
      <c r="E40" s="27" t="str">
        <f aca="false">IFERROR(INDEX(Client_Master!$D$2:$D$41,MATCH(A40,Client_Master!$A$2:$A$41,0)),"")</f>
        <v>United Kingdom</v>
      </c>
      <c r="F40" s="27" t="str">
        <f aca="false">IFERROR(INDEX(Src_CoreBanking!$C$2:$C$41,MATCH(A40,Src_CoreBanking!$A$2:$A$41,0)),"")</f>
        <v>United Kingdom</v>
      </c>
      <c r="G40" s="27" t="str">
        <f aca="false">IF(OR(E40="",F40=""),"n/a",IF(E40=F40,"Match","Break"))</f>
        <v>Match</v>
      </c>
      <c r="H40" s="27" t="str">
        <f aca="false">IFERROR(INDEX(Client_Master!$H$2:$H$41,MATCH(A40,Client_Master!$A$2:$A$41,0)),"")</f>
        <v>Low</v>
      </c>
      <c r="I40" s="27" t="str">
        <f aca="false">IFERROR(INDEX(Src_CoreBanking!$D$2:$D$41,MATCH(A40,Src_CoreBanking!$A$2:$A$41,0)),"")</f>
        <v>Low</v>
      </c>
      <c r="J40" s="27" t="str">
        <f aca="false">IF(OR(H40="",I40=""),"n/a",IF(H40=I40,"Match","Break"))</f>
        <v>Match</v>
      </c>
      <c r="K40" s="27" t="str">
        <f aca="false">IFERROR(INDEX(Src_CoreBanking!$E$2:$E$41,MATCH(A40,Src_CoreBanking!$A$2:$A$41,0)),"")</f>
        <v>Active</v>
      </c>
      <c r="L40" s="27" t="str">
        <f aca="false">IFERROR(INDEX(Client_Master!$R$2:$R$41,MATCH(A40,Client_Master!$A$2:$A$41,0)),"")</f>
        <v>Complete</v>
      </c>
      <c r="M40" s="27" t="str">
        <f aca="false">IF(OR(D40="Missing in CRM",D40="Missing in Core"),D40,IF(AND(D40="Match",G40="Match",J40="Match"),"Reconciled",TRIM("Break: "&amp;IF(D40&lt;&gt;"Match","Name ","")&amp;IF(G40&lt;&gt;"Match","Country ","")&amp;IF(J40&lt;&gt;"Match","Rating",""))))</f>
        <v>Reconciled</v>
      </c>
      <c r="N40" s="27" t="str">
        <f aca="false">IF(AND(K40="Active",L40&lt;&gt;"",L40&lt;&gt;"Complete"),"Active account - KYC incomplete",IF(AND(K40="Active",L40=""),"Active account - no KYC record",""))</f>
        <v/>
      </c>
    </row>
    <row r="41" customFormat="false" ht="15" hidden="false" customHeight="false" outlineLevel="0" collapsed="false">
      <c r="A41" s="27" t="s">
        <v>298</v>
      </c>
      <c r="B41" s="27" t="str">
        <f aca="false">IFERROR(INDEX(Client_Master!$B$2:$B$41,MATCH(A41,Client_Master!$A$2:$A$41,0)),"")</f>
        <v>Orchid Textiles Pvt Ltd</v>
      </c>
      <c r="C41" s="27" t="str">
        <f aca="false">IFERROR(INDEX(Src_CoreBanking!$B$2:$B$41,MATCH(A41,Src_CoreBanking!$A$2:$A$41,0)),"")</f>
        <v>Orchid Textiles Pvt Ltd</v>
      </c>
      <c r="D41" s="27" t="str">
        <f aca="false">IF(B41="","Missing in CRM",IF(C41="","Missing in Core",IF(TRIM(UPPER(B41))=TRIM(UPPER(C41)),"Match","Break")))</f>
        <v>Match</v>
      </c>
      <c r="E41" s="27" t="str">
        <f aca="false">IFERROR(INDEX(Client_Master!$D$2:$D$41,MATCH(A41,Client_Master!$A$2:$A$41,0)),"")</f>
        <v>India</v>
      </c>
      <c r="F41" s="27" t="str">
        <f aca="false">IFERROR(INDEX(Src_CoreBanking!$C$2:$C$41,MATCH(A41,Src_CoreBanking!$A$2:$A$41,0)),"")</f>
        <v>India</v>
      </c>
      <c r="G41" s="27" t="str">
        <f aca="false">IF(OR(E41="",F41=""),"n/a",IF(E41=F41,"Match","Break"))</f>
        <v>Match</v>
      </c>
      <c r="H41" s="27" t="str">
        <f aca="false">IFERROR(INDEX(Client_Master!$H$2:$H$41,MATCH(A41,Client_Master!$A$2:$A$41,0)),"")</f>
        <v>Low</v>
      </c>
      <c r="I41" s="27" t="str">
        <f aca="false">IFERROR(INDEX(Src_CoreBanking!$D$2:$D$41,MATCH(A41,Src_CoreBanking!$A$2:$A$41,0)),"")</f>
        <v>Low</v>
      </c>
      <c r="J41" s="27" t="str">
        <f aca="false">IF(OR(H41="",I41=""),"n/a",IF(H41=I41,"Match","Break"))</f>
        <v>Match</v>
      </c>
      <c r="K41" s="27" t="str">
        <f aca="false">IFERROR(INDEX(Src_CoreBanking!$E$2:$E$41,MATCH(A41,Src_CoreBanking!$A$2:$A$41,0)),"")</f>
        <v>Dormant</v>
      </c>
      <c r="L41" s="27" t="str">
        <f aca="false">IFERROR(INDEX(Client_Master!$R$2:$R$41,MATCH(A41,Client_Master!$A$2:$A$41,0)),"")</f>
        <v>Complete</v>
      </c>
      <c r="M41" s="27" t="str">
        <f aca="false">IF(OR(D41="Missing in CRM",D41="Missing in Core"),D41,IF(AND(D41="Match",G41="Match",J41="Match"),"Reconciled",TRIM("Break: "&amp;IF(D41&lt;&gt;"Match","Name ","")&amp;IF(G41&lt;&gt;"Match","Country ","")&amp;IF(J41&lt;&gt;"Match","Rating",""))))</f>
        <v>Reconciled</v>
      </c>
      <c r="N41" s="27" t="str">
        <f aca="false">IF(AND(K41="Active",L41&lt;&gt;"",L41&lt;&gt;"Complete"),"Active account - KYC incomplete",IF(AND(K41="Active",L41=""),"Active account - no KYC record",""))</f>
        <v/>
      </c>
    </row>
    <row r="42" customFormat="false" ht="15" hidden="false" customHeight="false" outlineLevel="0" collapsed="false">
      <c r="A42" s="27" t="s">
        <v>411</v>
      </c>
      <c r="B42" s="27" t="str">
        <f aca="false">IFERROR(INDEX(Client_Master!$B$2:$B$41,MATCH(A42,Client_Master!$A$2:$A$41,0)),"")</f>
        <v/>
      </c>
      <c r="C42" s="27" t="str">
        <f aca="false">IFERROR(INDEX(Src_CoreBanking!$B$2:$B$41,MATCH(A42,Src_CoreBanking!$A$2:$A$41,0)),"")</f>
        <v>Oakridge Holdings Inc</v>
      </c>
      <c r="D42" s="27" t="str">
        <f aca="false">IF(B42="","Missing in CRM",IF(C42="","Missing in Core",IF(TRIM(UPPER(B42))=TRIM(UPPER(C42)),"Match","Break")))</f>
        <v>Missing in CRM</v>
      </c>
      <c r="E42" s="27" t="str">
        <f aca="false">IFERROR(INDEX(Client_Master!$D$2:$D$41,MATCH(A42,Client_Master!$A$2:$A$41,0)),"")</f>
        <v/>
      </c>
      <c r="F42" s="27" t="str">
        <f aca="false">IFERROR(INDEX(Src_CoreBanking!$C$2:$C$41,MATCH(A42,Src_CoreBanking!$A$2:$A$41,0)),"")</f>
        <v>United States</v>
      </c>
      <c r="G42" s="27" t="str">
        <f aca="false">IF(OR(E42="",F42=""),"n/a",IF(E42=F42,"Match","Break"))</f>
        <v>n/a</v>
      </c>
      <c r="H42" s="27" t="str">
        <f aca="false">IFERROR(INDEX(Client_Master!$H$2:$H$41,MATCH(A42,Client_Master!$A$2:$A$41,0)),"")</f>
        <v/>
      </c>
      <c r="I42" s="27" t="str">
        <f aca="false">IFERROR(INDEX(Src_CoreBanking!$D$2:$D$41,MATCH(A42,Src_CoreBanking!$A$2:$A$41,0)),"")</f>
        <v>Low</v>
      </c>
      <c r="J42" s="27" t="str">
        <f aca="false">IF(OR(H42="",I42=""),"n/a",IF(H42=I42,"Match","Break"))</f>
        <v>n/a</v>
      </c>
      <c r="K42" s="27" t="str">
        <f aca="false">IFERROR(INDEX(Src_CoreBanking!$E$2:$E$41,MATCH(A42,Src_CoreBanking!$A$2:$A$41,0)),"")</f>
        <v>Active</v>
      </c>
      <c r="L42" s="27" t="str">
        <f aca="false">IFERROR(INDEX(Client_Master!$R$2:$R$41,MATCH(A42,Client_Master!$A$2:$A$41,0)),"")</f>
        <v/>
      </c>
      <c r="M42" s="27" t="str">
        <f aca="false">IF(OR(D42="Missing in CRM",D42="Missing in Core"),D42,IF(AND(D42="Match",G42="Match",J42="Match"),"Reconciled",TRIM("Break: "&amp;IF(D42&lt;&gt;"Match","Name ","")&amp;IF(G42&lt;&gt;"Match","Country ","")&amp;IF(J42&lt;&gt;"Match","Rating",""))))</f>
        <v>Missing in CRM</v>
      </c>
      <c r="N42" s="27" t="str">
        <f aca="false">IF(AND(K42="Active",L42&lt;&gt;"",L42&lt;&gt;"Complete"),"Active account - KYC incomplete",IF(AND(K42="Active",L42=""),"Active account - no KYC record",""))</f>
        <v>Active account - no KYC record</v>
      </c>
    </row>
  </sheetData>
  <autoFilter ref="A1:N42"/>
  <conditionalFormatting sqref="D2:D42">
    <cfRule type="expression" priority="2" aboveAverage="0" equalAverage="0" bottom="0" percent="0" rank="0" text="" dxfId="12">
      <formula>ISNUMBER(SEARCH("Break",D2))</formula>
    </cfRule>
    <cfRule type="expression" priority="3" aboveAverage="0" equalAverage="0" bottom="0" percent="0" rank="0" text="" dxfId="12">
      <formula>ISNUMBER(SEARCH("Missing",D2))</formula>
    </cfRule>
  </conditionalFormatting>
  <conditionalFormatting sqref="G2:G42">
    <cfRule type="expression" priority="4" aboveAverage="0" equalAverage="0" bottom="0" percent="0" rank="0" text="" dxfId="12">
      <formula>ISNUMBER(SEARCH("Break",G2))</formula>
    </cfRule>
  </conditionalFormatting>
  <conditionalFormatting sqref="J2:J42">
    <cfRule type="expression" priority="5" aboveAverage="0" equalAverage="0" bottom="0" percent="0" rank="0" text="" dxfId="12">
      <formula>ISNUMBER(SEARCH("Break",J2))</formula>
    </cfRule>
  </conditionalFormatting>
  <conditionalFormatting sqref="M2:M42">
    <cfRule type="expression" priority="6" aboveAverage="0" equalAverage="0" bottom="0" percent="0" rank="0" text="" dxfId="12">
      <formula>ISNUMBER(SEARCH("Break",M2))</formula>
    </cfRule>
    <cfRule type="expression" priority="7" aboveAverage="0" equalAverage="0" bottom="0" percent="0" rank="0" text="" dxfId="12">
      <formula>ISNUMBER(SEARCH("Missing",M2))</formula>
    </cfRule>
    <cfRule type="expression" priority="8" aboveAverage="0" equalAverage="0" bottom="0" percent="0" rank="0" text="" dxfId="11">
      <formula>ISNUMBER(SEARCH("Reconciled",M2))</formula>
    </cfRule>
  </conditionalFormatting>
  <conditionalFormatting sqref="N2:N42">
    <cfRule type="expression" priority="9" aboveAverage="0" equalAverage="0" bottom="0" percent="0" rank="0" text="" dxfId="10">
      <formula>ISNUMBER(SEARCH("Active",N2))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36"/>
    <col collapsed="false" customWidth="true" hidden="false" outlineLevel="0" max="9" min="9" style="0" width="70"/>
    <col collapsed="false" customWidth="true" hidden="false" outlineLevel="0" max="10" min="10" style="0" width="3"/>
    <col collapsed="false" customWidth="true" hidden="false" outlineLevel="0" max="11" min="11" style="0" width="36"/>
    <col collapsed="false" customWidth="true" hidden="false" outlineLevel="0" max="12" min="12" style="0" width="26"/>
  </cols>
  <sheetData>
    <row r="1" customFormat="false" ht="42" hidden="false" customHeight="true" outlineLevel="0" collapsed="false">
      <c r="A1" s="25" t="s">
        <v>300</v>
      </c>
      <c r="B1" s="26" t="s">
        <v>585</v>
      </c>
      <c r="C1" s="26" t="s">
        <v>586</v>
      </c>
      <c r="D1" s="26" t="s">
        <v>587</v>
      </c>
      <c r="E1" s="26" t="s">
        <v>588</v>
      </c>
      <c r="F1" s="26" t="s">
        <v>589</v>
      </c>
      <c r="G1" s="26" t="s">
        <v>590</v>
      </c>
      <c r="H1" s="26" t="s">
        <v>591</v>
      </c>
      <c r="I1" s="25" t="s">
        <v>592</v>
      </c>
      <c r="K1" s="30" t="s">
        <v>593</v>
      </c>
    </row>
    <row r="2" customFormat="false" ht="15" hidden="false" customHeight="false" outlineLevel="0" collapsed="false">
      <c r="A2" s="27" t="s">
        <v>314</v>
      </c>
      <c r="B2" s="29" t="n">
        <f aca="false">IFERROR(INDEX(Transactions!$E$2:$E$114,MATCH(A2,Transactions!$A$2:$A$114,0)),"")</f>
        <v>17700</v>
      </c>
      <c r="C2" s="29" t="n">
        <f aca="false">IFERROR(INDEX(Src_BankStatement!$C$2:$C$114,MATCH(A2,Src_BankStatement!$A$2:$A$114,0)),"")</f>
        <v>17665</v>
      </c>
      <c r="D2" s="27" t="n">
        <f aca="false">COUNTIF(Src_BankStatement!$A$2:$A$114,A2)</f>
        <v>1</v>
      </c>
      <c r="E2" s="27" t="str">
        <f aca="false">IF(AND(B2="",C2=""),"",IF(B2="","Missing in Ledger",IF(C2="","Missing in Statement",IF(D2&gt;1,"Duplicate in Statement",IF(ABS(B2-C2)&gt;0.005,"Amount Break","Matched")))))</f>
        <v>Amount Break</v>
      </c>
      <c r="F2" s="29" t="n">
        <f aca="false">IF(AND(ISNUMBER(B2),ISNUMBER(C2)),ROUND(B2-C2,2),"")</f>
        <v>35</v>
      </c>
      <c r="G2" s="29" t="n">
        <f aca="false">IF(E2="Amount Break",B2-C2,IF(E2="Missing in Statement",B2,IF(E2="Missing in Ledger",-C2,IF(E2="Duplicate in Statement",-C2*(D2-1),0))))</f>
        <v>35</v>
      </c>
      <c r="H2" s="27" t="str">
        <f aca="false">IFERROR(INDEX(Transactions!$H$2:$H$114,MATCH(A2,Transactions!$A$2:$A$114,0)),"")</f>
        <v>Lotus Healthcare Systems Ltd</v>
      </c>
      <c r="I2" s="27" t="s">
        <v>594</v>
      </c>
      <c r="K2" s="36" t="s">
        <v>595</v>
      </c>
      <c r="L2" s="37" t="n">
        <f aca="false">SUM(Transactions!$E$2:$E$114)</f>
        <v>5155500</v>
      </c>
    </row>
    <row r="3" customFormat="false" ht="15" hidden="false" customHeight="false" outlineLevel="0" collapsed="false">
      <c r="A3" s="27" t="s">
        <v>317</v>
      </c>
      <c r="B3" s="29" t="n">
        <f aca="false">IFERROR(INDEX(Transactions!$E$2:$E$114,MATCH(A3,Transactions!$A$2:$A$114,0)),"")</f>
        <v>78700</v>
      </c>
      <c r="C3" s="29" t="n">
        <f aca="false">IFERROR(INDEX(Src_BankStatement!$C$2:$C$114,MATCH(A3,Src_BankStatement!$A$2:$A$114,0)),"")</f>
        <v>78700</v>
      </c>
      <c r="D3" s="27" t="n">
        <f aca="false">COUNTIF(Src_BankStatement!$A$2:$A$114,A3)</f>
        <v>1</v>
      </c>
      <c r="E3" s="27" t="str">
        <f aca="false">IF(AND(B3="",C3=""),"",IF(B3="","Missing in Ledger",IF(C3="","Missing in Statement",IF(D3&gt;1,"Duplicate in Statement",IF(ABS(B3-C3)&gt;0.005,"Amount Break","Matched")))))</f>
        <v>Matched</v>
      </c>
      <c r="F3" s="29" t="n">
        <f aca="false">IF(AND(ISNUMBER(B3),ISNUMBER(C3)),ROUND(B3-C3,2),"")</f>
        <v>0</v>
      </c>
      <c r="G3" s="29" t="n">
        <f aca="false">IF(E3="Amount Break",B3-C3,IF(E3="Missing in Statement",B3,IF(E3="Missing in Ledger",-C3,IF(E3="Duplicate in Statement",-C3*(D3-1),0))))</f>
        <v>0</v>
      </c>
      <c r="H3" s="27" t="str">
        <f aca="false">IFERROR(INDEX(Transactions!$H$2:$H$114,MATCH(A3,Transactions!$A$2:$A$114,0)),"")</f>
        <v>Cedar Hill Property Holdings Ltd</v>
      </c>
      <c r="I3" s="27"/>
      <c r="K3" s="36" t="s">
        <v>596</v>
      </c>
      <c r="L3" s="37" t="n">
        <f aca="false">SUM(Src_BankStatement!$C$2:$C$114)</f>
        <v>5136347</v>
      </c>
    </row>
    <row r="4" customFormat="false" ht="15" hidden="false" customHeight="false" outlineLevel="0" collapsed="false">
      <c r="A4" s="27" t="s">
        <v>320</v>
      </c>
      <c r="B4" s="29" t="n">
        <f aca="false">IFERROR(INDEX(Transactions!$E$2:$E$114,MATCH(A4,Transactions!$A$2:$A$114,0)),"")</f>
        <v>48400</v>
      </c>
      <c r="C4" s="29" t="str">
        <f aca="false">IFERROR(INDEX(Src_BankStatement!$C$2:$C$114,MATCH(A4,Src_BankStatement!$A$2:$A$114,0)),"")</f>
        <v/>
      </c>
      <c r="D4" s="27" t="n">
        <f aca="false">COUNTIF(Src_BankStatement!$A$2:$A$114,A4)</f>
        <v>0</v>
      </c>
      <c r="E4" s="27" t="str">
        <f aca="false">IF(AND(B4="",C4=""),"",IF(B4="","Missing in Ledger",IF(C4="","Missing in Statement",IF(D4&gt;1,"Duplicate in Statement",IF(ABS(B4-C4)&gt;0.005,"Amount Break","Matched")))))</f>
        <v>Missing in Statement</v>
      </c>
      <c r="F4" s="29" t="str">
        <f aca="false">IF(AND(ISNUMBER(B4),ISNUMBER(C4)),ROUND(B4-C4,2),"")</f>
        <v/>
      </c>
      <c r="G4" s="29" t="n">
        <f aca="false">IF(E4="Amount Break",B4-C4,IF(E4="Missing in Statement",B4,IF(E4="Missing in Ledger",-C4,IF(E4="Duplicate in Statement",-C4*(D4-1),0))))</f>
        <v>48400</v>
      </c>
      <c r="H4" s="27" t="str">
        <f aca="false">IFERROR(INDEX(Transactions!$H$2:$H$114,MATCH(A4,Transactions!$A$2:$A$114,0)),"")</f>
        <v>Coral Reef Gaming Ltd</v>
      </c>
      <c r="I4" s="27" t="s">
        <v>597</v>
      </c>
      <c r="K4" s="36" t="s">
        <v>598</v>
      </c>
      <c r="L4" s="37" t="n">
        <f aca="false">ROUND(L2-L3,2)</f>
        <v>19153</v>
      </c>
    </row>
    <row r="5" customFormat="false" ht="15" hidden="false" customHeight="false" outlineLevel="0" collapsed="false">
      <c r="A5" s="27" t="s">
        <v>321</v>
      </c>
      <c r="B5" s="29" t="n">
        <f aca="false">IFERROR(INDEX(Transactions!$E$2:$E$114,MATCH(A5,Transactions!$A$2:$A$114,0)),"")</f>
        <v>54100</v>
      </c>
      <c r="C5" s="29" t="n">
        <f aca="false">IFERROR(INDEX(Src_BankStatement!$C$2:$C$114,MATCH(A5,Src_BankStatement!$A$2:$A$114,0)),"")</f>
        <v>54100</v>
      </c>
      <c r="D5" s="27" t="n">
        <f aca="false">COUNTIF(Src_BankStatement!$A$2:$A$114,A5)</f>
        <v>1</v>
      </c>
      <c r="E5" s="27" t="str">
        <f aca="false">IF(AND(B5="",C5=""),"",IF(B5="","Missing in Ledger",IF(C5="","Missing in Statement",IF(D5&gt;1,"Duplicate in Statement",IF(ABS(B5-C5)&gt;0.005,"Amount Break","Matched")))))</f>
        <v>Matched</v>
      </c>
      <c r="F5" s="29" t="n">
        <f aca="false">IF(AND(ISNUMBER(B5),ISNUMBER(C5)),ROUND(B5-C5,2),"")</f>
        <v>0</v>
      </c>
      <c r="G5" s="29" t="n">
        <f aca="false">IF(E5="Amount Break",B5-C5,IF(E5="Missing in Statement",B5,IF(E5="Missing in Ledger",-C5,IF(E5="Duplicate in Statement",-C5*(D5-1),0))))</f>
        <v>0</v>
      </c>
      <c r="H5" s="27" t="str">
        <f aca="false">IFERROR(INDEX(Transactions!$H$2:$H$114,MATCH(A5,Transactions!$A$2:$A$114,0)),"")</f>
        <v>Delta Cloud Systems Pvt Ltd</v>
      </c>
      <c r="I5" s="27"/>
      <c r="K5" s="36" t="s">
        <v>599</v>
      </c>
      <c r="L5" s="37" t="n">
        <f aca="false">ROUND(SUM(G2:G115),2)</f>
        <v>19153</v>
      </c>
    </row>
    <row r="6" customFormat="false" ht="15" hidden="false" customHeight="false" outlineLevel="0" collapsed="false">
      <c r="A6" s="27" t="s">
        <v>322</v>
      </c>
      <c r="B6" s="29" t="n">
        <f aca="false">IFERROR(INDEX(Transactions!$E$2:$E$114,MATCH(A6,Transactions!$A$2:$A$114,0)),"")</f>
        <v>28500</v>
      </c>
      <c r="C6" s="29" t="n">
        <f aca="false">IFERROR(INDEX(Src_BankStatement!$C$2:$C$114,MATCH(A6,Src_BankStatement!$A$2:$A$114,0)),"")</f>
        <v>28500</v>
      </c>
      <c r="D6" s="27" t="n">
        <f aca="false">COUNTIF(Src_BankStatement!$A$2:$A$114,A6)</f>
        <v>1</v>
      </c>
      <c r="E6" s="27" t="str">
        <f aca="false">IF(AND(B6="",C6=""),"",IF(B6="","Missing in Ledger",IF(C6="","Missing in Statement",IF(D6&gt;1,"Duplicate in Statement",IF(ABS(B6-C6)&gt;0.005,"Amount Break","Matched")))))</f>
        <v>Matched</v>
      </c>
      <c r="F6" s="29" t="n">
        <f aca="false">IF(AND(ISNUMBER(B6),ISNUMBER(C6)),ROUND(B6-C6,2),"")</f>
        <v>0</v>
      </c>
      <c r="G6" s="29" t="n">
        <f aca="false">IF(E6="Amount Break",B6-C6,IF(E6="Missing in Statement",B6,IF(E6="Missing in Ledger",-C6,IF(E6="Duplicate in Statement",-C6*(D6-1),0))))</f>
        <v>0</v>
      </c>
      <c r="H6" s="27" t="str">
        <f aca="false">IFERROR(INDEX(Transactions!$H$2:$H$114,MATCH(A6,Transactions!$A$2:$A$114,0)),"")</f>
        <v>Anatolia Steel Works AS</v>
      </c>
      <c r="I6" s="27"/>
      <c r="K6" s="36" t="s">
        <v>600</v>
      </c>
      <c r="L6" s="37" t="n">
        <f aca="false">ROUND(L4-L5,2)</f>
        <v>0</v>
      </c>
    </row>
    <row r="7" customFormat="false" ht="15" hidden="false" customHeight="false" outlineLevel="0" collapsed="false">
      <c r="A7" s="27" t="s">
        <v>323</v>
      </c>
      <c r="B7" s="29" t="n">
        <f aca="false">IFERROR(INDEX(Transactions!$E$2:$E$114,MATCH(A7,Transactions!$A$2:$A$114,0)),"")</f>
        <v>43400</v>
      </c>
      <c r="C7" s="29" t="n">
        <f aca="false">IFERROR(INDEX(Src_BankStatement!$C$2:$C$114,MATCH(A7,Src_BankStatement!$A$2:$A$114,0)),"")</f>
        <v>44400</v>
      </c>
      <c r="D7" s="27" t="n">
        <f aca="false">COUNTIF(Src_BankStatement!$A$2:$A$114,A7)</f>
        <v>1</v>
      </c>
      <c r="E7" s="27" t="str">
        <f aca="false">IF(AND(B7="",C7=""),"",IF(B7="","Missing in Ledger",IF(C7="","Missing in Statement",IF(D7&gt;1,"Duplicate in Statement",IF(ABS(B7-C7)&gt;0.005,"Amount Break","Matched")))))</f>
        <v>Amount Break</v>
      </c>
      <c r="F7" s="29" t="n">
        <f aca="false">IF(AND(ISNUMBER(B7),ISNUMBER(C7)),ROUND(B7-C7,2),"")</f>
        <v>-1000</v>
      </c>
      <c r="G7" s="29" t="n">
        <f aca="false">IF(E7="Amount Break",B7-C7,IF(E7="Missing in Statement",B7,IF(E7="Missing in Ledger",-C7,IF(E7="Duplicate in Statement",-C7*(D7-1),0))))</f>
        <v>-1000</v>
      </c>
      <c r="H7" s="27" t="str">
        <f aca="false">IFERROR(INDEX(Transactions!$H$2:$H$114,MATCH(A7,Transactions!$A$2:$A$114,0)),"")</f>
        <v>Maple Leaf Health Clinics Inc</v>
      </c>
      <c r="I7" s="27" t="s">
        <v>601</v>
      </c>
      <c r="K7" s="36" t="s">
        <v>602</v>
      </c>
      <c r="L7" s="37" t="str">
        <f aca="false">IF(L6=0,"FULLY EXPLAINED","UNEXPLAINED DIFFERENCE")</f>
        <v>FULLY EXPLAINED</v>
      </c>
    </row>
    <row r="8" customFormat="false" ht="15" hidden="false" customHeight="false" outlineLevel="0" collapsed="false">
      <c r="A8" s="27" t="s">
        <v>324</v>
      </c>
      <c r="B8" s="29" t="n">
        <f aca="false">IFERROR(INDEX(Transactions!$E$2:$E$114,MATCH(A8,Transactions!$A$2:$A$114,0)),"")</f>
        <v>31900</v>
      </c>
      <c r="C8" s="29" t="n">
        <f aca="false">IFERROR(INDEX(Src_BankStatement!$C$2:$C$114,MATCH(A8,Src_BankStatement!$A$2:$A$114,0)),"")</f>
        <v>31900</v>
      </c>
      <c r="D8" s="27" t="n">
        <f aca="false">COUNTIF(Src_BankStatement!$A$2:$A$114,A8)</f>
        <v>1</v>
      </c>
      <c r="E8" s="27" t="str">
        <f aca="false">IF(AND(B8="",C8=""),"",IF(B8="","Missing in Ledger",IF(C8="","Missing in Statement",IF(D8&gt;1,"Duplicate in Statement",IF(ABS(B8-C8)&gt;0.005,"Amount Break","Matched")))))</f>
        <v>Matched</v>
      </c>
      <c r="F8" s="29" t="n">
        <f aca="false">IF(AND(ISNUMBER(B8),ISNUMBER(C8)),ROUND(B8-C8,2),"")</f>
        <v>0</v>
      </c>
      <c r="G8" s="29" t="n">
        <f aca="false">IF(E8="Amount Break",B8-C8,IF(E8="Missing in Statement",B8,IF(E8="Missing in Ledger",-C8,IF(E8="Duplicate in Statement",-C8*(D8-1),0))))</f>
        <v>0</v>
      </c>
      <c r="H8" s="27" t="str">
        <f aca="false">IFERROR(INDEX(Transactions!$H$2:$H$114,MATCH(A8,Transactions!$A$2:$A$114,0)),"")</f>
        <v>Palm Bay Casino Resorts</v>
      </c>
      <c r="I8" s="27"/>
    </row>
    <row r="9" customFormat="false" ht="15" hidden="false" customHeight="false" outlineLevel="0" collapsed="false">
      <c r="A9" s="27" t="s">
        <v>325</v>
      </c>
      <c r="B9" s="29" t="n">
        <f aca="false">IFERROR(INDEX(Transactions!$E$2:$E$114,MATCH(A9,Transactions!$A$2:$A$114,0)),"")</f>
        <v>34000</v>
      </c>
      <c r="C9" s="29" t="str">
        <f aca="false">IFERROR(INDEX(Src_BankStatement!$C$2:$C$114,MATCH(A9,Src_BankStatement!$A$2:$A$114,0)),"")</f>
        <v/>
      </c>
      <c r="D9" s="27" t="n">
        <f aca="false">COUNTIF(Src_BankStatement!$A$2:$A$114,A9)</f>
        <v>0</v>
      </c>
      <c r="E9" s="27" t="str">
        <f aca="false">IF(AND(B9="",C9=""),"",IF(B9="","Missing in Ledger",IF(C9="","Missing in Statement",IF(D9&gt;1,"Duplicate in Statement",IF(ABS(B9-C9)&gt;0.005,"Amount Break","Matched")))))</f>
        <v>Missing in Statement</v>
      </c>
      <c r="F9" s="29" t="str">
        <f aca="false">IF(AND(ISNUMBER(B9),ISNUMBER(C9)),ROUND(B9-C9,2),"")</f>
        <v/>
      </c>
      <c r="G9" s="29" t="n">
        <f aca="false">IF(E9="Amount Break",B9-C9,IF(E9="Missing in Statement",B9,IF(E9="Missing in Ledger",-C9,IF(E9="Duplicate in Statement",-C9*(D9-1),0))))</f>
        <v>34000</v>
      </c>
      <c r="H9" s="27" t="str">
        <f aca="false">IFERROR(INDEX(Transactions!$H$2:$H$114,MATCH(A9,Transactions!$A$2:$A$114,0)),"")</f>
        <v>Lakeview Medical Supplies Inc</v>
      </c>
      <c r="I9" s="27" t="s">
        <v>603</v>
      </c>
    </row>
    <row r="10" customFormat="false" ht="15" hidden="false" customHeight="false" outlineLevel="0" collapsed="false">
      <c r="A10" s="27" t="s">
        <v>326</v>
      </c>
      <c r="B10" s="29" t="n">
        <f aca="false">IFERROR(INDEX(Transactions!$E$2:$E$114,MATCH(A10,Transactions!$A$2:$A$114,0)),"")</f>
        <v>66000</v>
      </c>
      <c r="C10" s="29" t="n">
        <f aca="false">IFERROR(INDEX(Src_BankStatement!$C$2:$C$114,MATCH(A10,Src_BankStatement!$A$2:$A$114,0)),"")</f>
        <v>66000</v>
      </c>
      <c r="D10" s="27" t="n">
        <f aca="false">COUNTIF(Src_BankStatement!$A$2:$A$114,A10)</f>
        <v>1</v>
      </c>
      <c r="E10" s="27" t="str">
        <f aca="false">IF(AND(B10="",C10=""),"",IF(B10="","Missing in Ledger",IF(C10="","Missing in Statement",IF(D10&gt;1,"Duplicate in Statement",IF(ABS(B10-C10)&gt;0.005,"Amount Break","Matched")))))</f>
        <v>Matched</v>
      </c>
      <c r="F10" s="29" t="n">
        <f aca="false">IF(AND(ISNUMBER(B10),ISNUMBER(C10)),ROUND(B10-C10,2),"")</f>
        <v>0</v>
      </c>
      <c r="G10" s="29" t="n">
        <f aca="false">IF(E10="Amount Break",B10-C10,IF(E10="Missing in Statement",B10,IF(E10="Missing in Ledger",-C10,IF(E10="Duplicate in Statement",-C10*(D10-1),0))))</f>
        <v>0</v>
      </c>
      <c r="H10" s="27" t="str">
        <f aca="false">IFERROR(INDEX(Transactions!$H$2:$H$114,MATCH(A10,Transactions!$A$2:$A$114,0)),"")</f>
        <v>Aurora Software Solutions Pvt Ltd</v>
      </c>
      <c r="I10" s="27"/>
    </row>
    <row r="11" customFormat="false" ht="15" hidden="false" customHeight="false" outlineLevel="0" collapsed="false">
      <c r="A11" s="27" t="s">
        <v>327</v>
      </c>
      <c r="B11" s="29" t="n">
        <f aca="false">IFERROR(INDEX(Transactions!$E$2:$E$114,MATCH(A11,Transactions!$A$2:$A$114,0)),"")</f>
        <v>79700</v>
      </c>
      <c r="C11" s="29" t="n">
        <f aca="false">IFERROR(INDEX(Src_BankStatement!$C$2:$C$114,MATCH(A11,Src_BankStatement!$A$2:$A$114,0)),"")</f>
        <v>79700</v>
      </c>
      <c r="D11" s="27" t="n">
        <f aca="false">COUNTIF(Src_BankStatement!$A$2:$A$114,A11)</f>
        <v>1</v>
      </c>
      <c r="E11" s="27" t="str">
        <f aca="false">IF(AND(B11="",C11=""),"",IF(B11="","Missing in Ledger",IF(C11="","Missing in Statement",IF(D11&gt;1,"Duplicate in Statement",IF(ABS(B11-C11)&gt;0.005,"Amount Break","Matched")))))</f>
        <v>Matched</v>
      </c>
      <c r="F11" s="29" t="n">
        <f aca="false">IF(AND(ISNUMBER(B11),ISNUMBER(C11)),ROUND(B11-C11,2),"")</f>
        <v>0</v>
      </c>
      <c r="G11" s="29" t="n">
        <f aca="false">IF(E11="Amount Break",B11-C11,IF(E11="Missing in Statement",B11,IF(E11="Missing in Ledger",-C11,IF(E11="Duplicate in Statement",-C11*(D11-1),0))))</f>
        <v>0</v>
      </c>
      <c r="H11" s="27" t="str">
        <f aca="false">IFERROR(INDEX(Transactions!$H$2:$H$114,MATCH(A11,Transactions!$A$2:$A$114,0)),"")</f>
        <v>Palm Bay Casino Resorts</v>
      </c>
      <c r="I11" s="27"/>
    </row>
    <row r="12" customFormat="false" ht="15" hidden="false" customHeight="false" outlineLevel="0" collapsed="false">
      <c r="A12" s="27" t="s">
        <v>328</v>
      </c>
      <c r="B12" s="29" t="n">
        <f aca="false">IFERROR(INDEX(Transactions!$E$2:$E$114,MATCH(A12,Transactions!$A$2:$A$114,0)),"")</f>
        <v>81800</v>
      </c>
      <c r="C12" s="29" t="n">
        <f aca="false">IFERROR(INDEX(Src_BankStatement!$C$2:$C$114,MATCH(A12,Src_BankStatement!$A$2:$A$114,0)),"")</f>
        <v>80982</v>
      </c>
      <c r="D12" s="27" t="n">
        <f aca="false">COUNTIF(Src_BankStatement!$A$2:$A$114,A12)</f>
        <v>1</v>
      </c>
      <c r="E12" s="27" t="str">
        <f aca="false">IF(AND(B12="",C12=""),"",IF(B12="","Missing in Ledger",IF(C12="","Missing in Statement",IF(D12&gt;1,"Duplicate in Statement",IF(ABS(B12-C12)&gt;0.005,"Amount Break","Matched")))))</f>
        <v>Amount Break</v>
      </c>
      <c r="F12" s="29" t="n">
        <f aca="false">IF(AND(ISNUMBER(B12),ISNUMBER(C12)),ROUND(B12-C12,2),"")</f>
        <v>818</v>
      </c>
      <c r="G12" s="29" t="n">
        <f aca="false">IF(E12="Amount Break",B12-C12,IF(E12="Missing in Statement",B12,IF(E12="Missing in Ledger",-C12,IF(E12="Duplicate in Statement",-C12*(D12-1),0))))</f>
        <v>818</v>
      </c>
      <c r="H12" s="27" t="str">
        <f aca="false">IFERROR(INDEX(Transactions!$H$2:$H$114,MATCH(A12,Transactions!$A$2:$A$114,0)),"")</f>
        <v>Meridian Textile Exports Pvt Ltd</v>
      </c>
      <c r="I12" s="27" t="s">
        <v>604</v>
      </c>
    </row>
    <row r="13" customFormat="false" ht="15" hidden="false" customHeight="false" outlineLevel="0" collapsed="false">
      <c r="A13" s="27" t="s">
        <v>329</v>
      </c>
      <c r="B13" s="29" t="n">
        <f aca="false">IFERROR(INDEX(Transactions!$E$2:$E$114,MATCH(A13,Transactions!$A$2:$A$114,0)),"")</f>
        <v>75900</v>
      </c>
      <c r="C13" s="29" t="n">
        <f aca="false">IFERROR(INDEX(Src_BankStatement!$C$2:$C$114,MATCH(A13,Src_BankStatement!$A$2:$A$114,0)),"")</f>
        <v>75900</v>
      </c>
      <c r="D13" s="27" t="n">
        <f aca="false">COUNTIF(Src_BankStatement!$A$2:$A$114,A13)</f>
        <v>1</v>
      </c>
      <c r="E13" s="27" t="str">
        <f aca="false">IF(AND(B13="",C13=""),"",IF(B13="","Missing in Ledger",IF(C13="","Missing in Statement",IF(D13&gt;1,"Duplicate in Statement",IF(ABS(B13-C13)&gt;0.005,"Amount Break","Matched")))))</f>
        <v>Matched</v>
      </c>
      <c r="F13" s="29" t="n">
        <f aca="false">IF(AND(ISNUMBER(B13),ISNUMBER(C13)),ROUND(B13-C13,2),"")</f>
        <v>0</v>
      </c>
      <c r="G13" s="29" t="n">
        <f aca="false">IF(E13="Amount Break",B13-C13,IF(E13="Missing in Statement",B13,IF(E13="Missing in Ledger",-C13,IF(E13="Duplicate in Statement",-C13*(D13-1),0))))</f>
        <v>0</v>
      </c>
      <c r="H13" s="27" t="str">
        <f aca="false">IFERROR(INDEX(Transactions!$H$2:$H$114,MATCH(A13,Transactions!$A$2:$A$114,0)),"")</f>
        <v>Coral Reef Gaming Ltd</v>
      </c>
      <c r="I13" s="27"/>
    </row>
    <row r="14" customFormat="false" ht="15" hidden="false" customHeight="false" outlineLevel="0" collapsed="false">
      <c r="A14" s="27" t="s">
        <v>330</v>
      </c>
      <c r="B14" s="29" t="n">
        <f aca="false">IFERROR(INDEX(Transactions!$E$2:$E$114,MATCH(A14,Transactions!$A$2:$A$114,0)),"")</f>
        <v>59900</v>
      </c>
      <c r="C14" s="29" t="n">
        <f aca="false">IFERROR(INDEX(Src_BankStatement!$C$2:$C$114,MATCH(A14,Src_BankStatement!$A$2:$A$114,0)),"")</f>
        <v>59900</v>
      </c>
      <c r="D14" s="27" t="n">
        <f aca="false">COUNTIF(Src_BankStatement!$A$2:$A$114,A14)</f>
        <v>2</v>
      </c>
      <c r="E14" s="27" t="str">
        <f aca="false">IF(AND(B14="",C14=""),"",IF(B14="","Missing in Ledger",IF(C14="","Missing in Statement",IF(D14&gt;1,"Duplicate in Statement",IF(ABS(B14-C14)&gt;0.005,"Amount Break","Matched")))))</f>
        <v>Duplicate in Statement</v>
      </c>
      <c r="F14" s="29" t="n">
        <f aca="false">IF(AND(ISNUMBER(B14),ISNUMBER(C14)),ROUND(B14-C14,2),"")</f>
        <v>0</v>
      </c>
      <c r="G14" s="29" t="n">
        <f aca="false">IF(E14="Amount Break",B14-C14,IF(E14="Missing in Statement",B14,IF(E14="Missing in Ledger",-C14,IF(E14="Duplicate in Statement",-C14*(D14-1),0))))</f>
        <v>-59900</v>
      </c>
      <c r="H14" s="27" t="str">
        <f aca="false">IFERROR(INDEX(Transactions!$H$2:$H$114,MATCH(A14,Transactions!$A$2:$A$114,0)),"")</f>
        <v>Orion Freight Forwarders Pvt Ltd</v>
      </c>
      <c r="I14" s="27" t="s">
        <v>605</v>
      </c>
    </row>
    <row r="15" customFormat="false" ht="15" hidden="false" customHeight="false" outlineLevel="0" collapsed="false">
      <c r="A15" s="27" t="s">
        <v>331</v>
      </c>
      <c r="B15" s="29" t="n">
        <f aca="false">IFERROR(INDEX(Transactions!$E$2:$E$114,MATCH(A15,Transactions!$A$2:$A$114,0)),"")</f>
        <v>3100</v>
      </c>
      <c r="C15" s="29" t="n">
        <f aca="false">IFERROR(INDEX(Src_BankStatement!$C$2:$C$114,MATCH(A15,Src_BankStatement!$A$2:$A$114,0)),"")</f>
        <v>3100</v>
      </c>
      <c r="D15" s="27" t="n">
        <f aca="false">COUNTIF(Src_BankStatement!$A$2:$A$114,A15)</f>
        <v>1</v>
      </c>
      <c r="E15" s="27" t="str">
        <f aca="false">IF(AND(B15="",C15=""),"",IF(B15="","Missing in Ledger",IF(C15="","Missing in Statement",IF(D15&gt;1,"Duplicate in Statement",IF(ABS(B15-C15)&gt;0.005,"Amount Break","Matched")))))</f>
        <v>Matched</v>
      </c>
      <c r="F15" s="29" t="n">
        <f aca="false">IF(AND(ISNUMBER(B15),ISNUMBER(C15)),ROUND(B15-C15,2),"")</f>
        <v>0</v>
      </c>
      <c r="G15" s="29" t="n">
        <f aca="false">IF(E15="Amount Break",B15-C15,IF(E15="Missing in Statement",B15,IF(E15="Missing in Ledger",-C15,IF(E15="Duplicate in Statement",-C15*(D15-1),0))))</f>
        <v>0</v>
      </c>
      <c r="H15" s="27" t="str">
        <f aca="false">IFERROR(INDEX(Transactions!$H$2:$H$114,MATCH(A15,Transactions!$A$2:$A$114,0)),"")</f>
        <v>Metro Fuel &amp; Convenience Stores Inc</v>
      </c>
      <c r="I15" s="27"/>
    </row>
    <row r="16" customFormat="false" ht="15" hidden="false" customHeight="false" outlineLevel="0" collapsed="false">
      <c r="A16" s="27" t="s">
        <v>334</v>
      </c>
      <c r="B16" s="29" t="n">
        <f aca="false">IFERROR(INDEX(Transactions!$E$2:$E$114,MATCH(A16,Transactions!$A$2:$A$114,0)),"")</f>
        <v>68500</v>
      </c>
      <c r="C16" s="29" t="n">
        <f aca="false">IFERROR(INDEX(Src_BankStatement!$C$2:$C$114,MATCH(A16,Src_BankStatement!$A$2:$A$114,0)),"")</f>
        <v>68500</v>
      </c>
      <c r="D16" s="27" t="n">
        <f aca="false">COUNTIF(Src_BankStatement!$A$2:$A$114,A16)</f>
        <v>1</v>
      </c>
      <c r="E16" s="27" t="str">
        <f aca="false">IF(AND(B16="",C16=""),"",IF(B16="","Missing in Ledger",IF(C16="","Missing in Statement",IF(D16&gt;1,"Duplicate in Statement",IF(ABS(B16-C16)&gt;0.005,"Amount Break","Matched")))))</f>
        <v>Matched</v>
      </c>
      <c r="F16" s="29" t="n">
        <f aca="false">IF(AND(ISNUMBER(B16),ISNUMBER(C16)),ROUND(B16-C16,2),"")</f>
        <v>0</v>
      </c>
      <c r="G16" s="29" t="n">
        <f aca="false">IF(E16="Amount Break",B16-C16,IF(E16="Missing in Statement",B16,IF(E16="Missing in Ledger",-C16,IF(E16="Duplicate in Statement",-C16*(D16-1),0))))</f>
        <v>0</v>
      </c>
      <c r="H16" s="27" t="str">
        <f aca="false">IFERROR(INDEX(Transactions!$H$2:$H$114,MATCH(A16,Transactions!$A$2:$A$114,0)),"")</f>
        <v>Meridian Textile Exports Pvt Ltd</v>
      </c>
      <c r="I16" s="27"/>
    </row>
    <row r="17" customFormat="false" ht="15" hidden="false" customHeight="false" outlineLevel="0" collapsed="false">
      <c r="A17" s="27" t="s">
        <v>335</v>
      </c>
      <c r="B17" s="29" t="n">
        <f aca="false">IFERROR(INDEX(Transactions!$E$2:$E$114,MATCH(A17,Transactions!$A$2:$A$114,0)),"")</f>
        <v>2800</v>
      </c>
      <c r="C17" s="29" t="n">
        <f aca="false">IFERROR(INDEX(Src_BankStatement!$C$2:$C$114,MATCH(A17,Src_BankStatement!$A$2:$A$114,0)),"")</f>
        <v>2800</v>
      </c>
      <c r="D17" s="27" t="n">
        <f aca="false">COUNTIF(Src_BankStatement!$A$2:$A$114,A17)</f>
        <v>1</v>
      </c>
      <c r="E17" s="27" t="str">
        <f aca="false">IF(AND(B17="",C17=""),"",IF(B17="","Missing in Ledger",IF(C17="","Missing in Statement",IF(D17&gt;1,"Duplicate in Statement",IF(ABS(B17-C17)&gt;0.005,"Amount Break","Matched")))))</f>
        <v>Matched</v>
      </c>
      <c r="F17" s="29" t="n">
        <f aca="false">IF(AND(ISNUMBER(B17),ISNUMBER(C17)),ROUND(B17-C17,2),"")</f>
        <v>0</v>
      </c>
      <c r="G17" s="29" t="n">
        <f aca="false">IF(E17="Amount Break",B17-C17,IF(E17="Missing in Statement",B17,IF(E17="Missing in Ledger",-C17,IF(E17="Duplicate in Statement",-C17*(D17-1),0))))</f>
        <v>0</v>
      </c>
      <c r="H17" s="27" t="str">
        <f aca="false">IFERROR(INDEX(Transactions!$H$2:$H$114,MATCH(A17,Transactions!$A$2:$A$114,0)),"")</f>
        <v>Brightline Retail Holdings Inc</v>
      </c>
      <c r="I17" s="27"/>
    </row>
    <row r="18" customFormat="false" ht="15" hidden="false" customHeight="false" outlineLevel="0" collapsed="false">
      <c r="A18" s="27" t="s">
        <v>337</v>
      </c>
      <c r="B18" s="29" t="n">
        <f aca="false">IFERROR(INDEX(Transactions!$E$2:$E$114,MATCH(A18,Transactions!$A$2:$A$114,0)),"")</f>
        <v>19600</v>
      </c>
      <c r="C18" s="29" t="n">
        <f aca="false">IFERROR(INDEX(Src_BankStatement!$C$2:$C$114,MATCH(A18,Src_BankStatement!$A$2:$A$114,0)),"")</f>
        <v>19600</v>
      </c>
      <c r="D18" s="27" t="n">
        <f aca="false">COUNTIF(Src_BankStatement!$A$2:$A$114,A18)</f>
        <v>1</v>
      </c>
      <c r="E18" s="27" t="str">
        <f aca="false">IF(AND(B18="",C18=""),"",IF(B18="","Missing in Ledger",IF(C18="","Missing in Statement",IF(D18&gt;1,"Duplicate in Statement",IF(ABS(B18-C18)&gt;0.005,"Amount Break","Matched")))))</f>
        <v>Matched</v>
      </c>
      <c r="F18" s="29" t="n">
        <f aca="false">IF(AND(ISNUMBER(B18),ISNUMBER(C18)),ROUND(B18-C18,2),"")</f>
        <v>0</v>
      </c>
      <c r="G18" s="29" t="n">
        <f aca="false">IF(E18="Amount Break",B18-C18,IF(E18="Missing in Statement",B18,IF(E18="Missing in Ledger",-C18,IF(E18="Duplicate in Statement",-C18*(D18-1),0))))</f>
        <v>0</v>
      </c>
      <c r="H18" s="27" t="str">
        <f aca="false">IFERROR(INDEX(Transactions!$H$2:$H$114,MATCH(A18,Transactions!$A$2:$A$114,0)),"")</f>
        <v>Kestrel Engineering Services Pte Ltd</v>
      </c>
      <c r="I18" s="27"/>
    </row>
    <row r="19" customFormat="false" ht="15" hidden="false" customHeight="false" outlineLevel="0" collapsed="false">
      <c r="A19" s="27" t="s">
        <v>338</v>
      </c>
      <c r="B19" s="29" t="n">
        <f aca="false">IFERROR(INDEX(Transactions!$E$2:$E$114,MATCH(A19,Transactions!$A$2:$A$114,0)),"")</f>
        <v>30000</v>
      </c>
      <c r="C19" s="29" t="n">
        <f aca="false">IFERROR(INDEX(Src_BankStatement!$C$2:$C$114,MATCH(A19,Src_BankStatement!$A$2:$A$114,0)),"")</f>
        <v>30000</v>
      </c>
      <c r="D19" s="27" t="n">
        <f aca="false">COUNTIF(Src_BankStatement!$A$2:$A$114,A19)</f>
        <v>1</v>
      </c>
      <c r="E19" s="27" t="str">
        <f aca="false">IF(AND(B19="",C19=""),"",IF(B19="","Missing in Ledger",IF(C19="","Missing in Statement",IF(D19&gt;1,"Duplicate in Statement",IF(ABS(B19-C19)&gt;0.005,"Amount Break","Matched")))))</f>
        <v>Matched</v>
      </c>
      <c r="F19" s="29" t="n">
        <f aca="false">IF(AND(ISNUMBER(B19),ISNUMBER(C19)),ROUND(B19-C19,2),"")</f>
        <v>0</v>
      </c>
      <c r="G19" s="29" t="n">
        <f aca="false">IF(E19="Amount Break",B19-C19,IF(E19="Missing in Statement",B19,IF(E19="Missing in Ledger",-C19,IF(E19="Duplicate in Statement",-C19*(D19-1),0))))</f>
        <v>0</v>
      </c>
      <c r="H19" s="27" t="str">
        <f aca="false">IFERROR(INDEX(Transactions!$H$2:$H$114,MATCH(A19,Transactions!$A$2:$A$114,0)),"")</f>
        <v>Golden Crest Jewellers LLC</v>
      </c>
      <c r="I19" s="27"/>
    </row>
    <row r="20" customFormat="false" ht="15" hidden="false" customHeight="false" outlineLevel="0" collapsed="false">
      <c r="A20" s="27" t="s">
        <v>340</v>
      </c>
      <c r="B20" s="29" t="n">
        <f aca="false">IFERROR(INDEX(Transactions!$E$2:$E$114,MATCH(A20,Transactions!$A$2:$A$114,0)),"")</f>
        <v>68900</v>
      </c>
      <c r="C20" s="29" t="n">
        <f aca="false">IFERROR(INDEX(Src_BankStatement!$C$2:$C$114,MATCH(A20,Src_BankStatement!$A$2:$A$114,0)),"")</f>
        <v>68900</v>
      </c>
      <c r="D20" s="27" t="n">
        <f aca="false">COUNTIF(Src_BankStatement!$A$2:$A$114,A20)</f>
        <v>1</v>
      </c>
      <c r="E20" s="27" t="str">
        <f aca="false">IF(AND(B20="",C20=""),"",IF(B20="","Missing in Ledger",IF(C20="","Missing in Statement",IF(D20&gt;1,"Duplicate in Statement",IF(ABS(B20-C20)&gt;0.005,"Amount Break","Matched")))))</f>
        <v>Matched</v>
      </c>
      <c r="F20" s="29" t="n">
        <f aca="false">IF(AND(ISNUMBER(B20),ISNUMBER(C20)),ROUND(B20-C20,2),"")</f>
        <v>0</v>
      </c>
      <c r="G20" s="29" t="n">
        <f aca="false">IF(E20="Amount Break",B20-C20,IF(E20="Missing in Statement",B20,IF(E20="Missing in Ledger",-C20,IF(E20="Duplicate in Statement",-C20*(D20-1),0))))</f>
        <v>0</v>
      </c>
      <c r="H20" s="27" t="str">
        <f aca="false">IFERROR(INDEX(Transactions!$H$2:$H$114,MATCH(A20,Transactions!$A$2:$A$114,0)),"")</f>
        <v>Pinnacle Realty Developers Ltd</v>
      </c>
      <c r="I20" s="27"/>
    </row>
    <row r="21" customFormat="false" ht="15" hidden="false" customHeight="false" outlineLevel="0" collapsed="false">
      <c r="A21" s="27" t="s">
        <v>341</v>
      </c>
      <c r="B21" s="29" t="n">
        <f aca="false">IFERROR(INDEX(Transactions!$E$2:$E$114,MATCH(A21,Transactions!$A$2:$A$114,0)),"")</f>
        <v>57600</v>
      </c>
      <c r="C21" s="29" t="n">
        <f aca="false">IFERROR(INDEX(Src_BankStatement!$C$2:$C$114,MATCH(A21,Src_BankStatement!$A$2:$A$114,0)),"")</f>
        <v>57600</v>
      </c>
      <c r="D21" s="27" t="n">
        <f aca="false">COUNTIF(Src_BankStatement!$A$2:$A$114,A21)</f>
        <v>1</v>
      </c>
      <c r="E21" s="27" t="str">
        <f aca="false">IF(AND(B21="",C21=""),"",IF(B21="","Missing in Ledger",IF(C21="","Missing in Statement",IF(D21&gt;1,"Duplicate in Statement",IF(ABS(B21-C21)&gt;0.005,"Amount Break","Matched")))))</f>
        <v>Matched</v>
      </c>
      <c r="F21" s="29" t="n">
        <f aca="false">IF(AND(ISNUMBER(B21),ISNUMBER(C21)),ROUND(B21-C21,2),"")</f>
        <v>0</v>
      </c>
      <c r="G21" s="29" t="n">
        <f aca="false">IF(E21="Amount Break",B21-C21,IF(E21="Missing in Statement",B21,IF(E21="Missing in Ledger",-C21,IF(E21="Duplicate in Statement",-C21*(D21-1),0))))</f>
        <v>0</v>
      </c>
      <c r="H21" s="27" t="str">
        <f aca="false">IFERROR(INDEX(Transactions!$H$2:$H$114,MATCH(A21,Transactions!$A$2:$A$114,0)),"")</f>
        <v>Zurich Wealth Advisory AG</v>
      </c>
      <c r="I21" s="27"/>
    </row>
    <row r="22" customFormat="false" ht="15" hidden="false" customHeight="false" outlineLevel="0" collapsed="false">
      <c r="A22" s="27" t="s">
        <v>342</v>
      </c>
      <c r="B22" s="29" t="n">
        <f aca="false">IFERROR(INDEX(Transactions!$E$2:$E$114,MATCH(A22,Transactions!$A$2:$A$114,0)),"")</f>
        <v>45200</v>
      </c>
      <c r="C22" s="29" t="n">
        <f aca="false">IFERROR(INDEX(Src_BankStatement!$C$2:$C$114,MATCH(A22,Src_BankStatement!$A$2:$A$114,0)),"")</f>
        <v>45200</v>
      </c>
      <c r="D22" s="27" t="n">
        <f aca="false">COUNTIF(Src_BankStatement!$A$2:$A$114,A22)</f>
        <v>1</v>
      </c>
      <c r="E22" s="27" t="str">
        <f aca="false">IF(AND(B22="",C22=""),"",IF(B22="","Missing in Ledger",IF(C22="","Missing in Statement",IF(D22&gt;1,"Duplicate in Statement",IF(ABS(B22-C22)&gt;0.005,"Amount Break","Matched")))))</f>
        <v>Matched</v>
      </c>
      <c r="F22" s="29" t="n">
        <f aca="false">IF(AND(ISNUMBER(B22),ISNUMBER(C22)),ROUND(B22-C22,2),"")</f>
        <v>0</v>
      </c>
      <c r="G22" s="29" t="n">
        <f aca="false">IF(E22="Amount Break",B22-C22,IF(E22="Missing in Statement",B22,IF(E22="Missing in Ledger",-C22,IF(E22="Duplicate in Statement",-C22*(D22-1),0))))</f>
        <v>0</v>
      </c>
      <c r="H22" s="27" t="str">
        <f aca="false">IFERROR(INDEX(Transactions!$H$2:$H$114,MATCH(A22,Transactions!$A$2:$A$114,0)),"")</f>
        <v>Harbour Point Trading Co</v>
      </c>
      <c r="I22" s="27"/>
    </row>
    <row r="23" customFormat="false" ht="15" hidden="false" customHeight="false" outlineLevel="0" collapsed="false">
      <c r="A23" s="27" t="s">
        <v>343</v>
      </c>
      <c r="B23" s="29" t="n">
        <f aca="false">IFERROR(INDEX(Transactions!$E$2:$E$114,MATCH(A23,Transactions!$A$2:$A$114,0)),"")</f>
        <v>48200</v>
      </c>
      <c r="C23" s="29" t="n">
        <f aca="false">IFERROR(INDEX(Src_BankStatement!$C$2:$C$114,MATCH(A23,Src_BankStatement!$A$2:$A$114,0)),"")</f>
        <v>48200</v>
      </c>
      <c r="D23" s="27" t="n">
        <f aca="false">COUNTIF(Src_BankStatement!$A$2:$A$114,A23)</f>
        <v>1</v>
      </c>
      <c r="E23" s="27" t="str">
        <f aca="false">IF(AND(B23="",C23=""),"",IF(B23="","Missing in Ledger",IF(C23="","Missing in Statement",IF(D23&gt;1,"Duplicate in Statement",IF(ABS(B23-C23)&gt;0.005,"Amount Break","Matched")))))</f>
        <v>Matched</v>
      </c>
      <c r="F23" s="29" t="n">
        <f aca="false">IF(AND(ISNUMBER(B23),ISNUMBER(C23)),ROUND(B23-C23,2),"")</f>
        <v>0</v>
      </c>
      <c r="G23" s="29" t="n">
        <f aca="false">IF(E23="Amount Break",B23-C23,IF(E23="Missing in Statement",B23,IF(E23="Missing in Ledger",-C23,IF(E23="Duplicate in Statement",-C23*(D23-1),0))))</f>
        <v>0</v>
      </c>
      <c r="H23" s="27" t="str">
        <f aca="false">IFERROR(INDEX(Transactions!$H$2:$H$114,MATCH(A23,Transactions!$A$2:$A$114,0)),"")</f>
        <v>Harbour Point Trading Co</v>
      </c>
      <c r="I23" s="27"/>
    </row>
    <row r="24" customFormat="false" ht="15" hidden="false" customHeight="false" outlineLevel="0" collapsed="false">
      <c r="A24" s="27" t="s">
        <v>344</v>
      </c>
      <c r="B24" s="29" t="n">
        <f aca="false">IFERROR(INDEX(Transactions!$E$2:$E$114,MATCH(A24,Transactions!$A$2:$A$114,0)),"")</f>
        <v>55700</v>
      </c>
      <c r="C24" s="29" t="n">
        <f aca="false">IFERROR(INDEX(Src_BankStatement!$C$2:$C$114,MATCH(A24,Src_BankStatement!$A$2:$A$114,0)),"")</f>
        <v>55700</v>
      </c>
      <c r="D24" s="27" t="n">
        <f aca="false">COUNTIF(Src_BankStatement!$A$2:$A$114,A24)</f>
        <v>1</v>
      </c>
      <c r="E24" s="27" t="str">
        <f aca="false">IF(AND(B24="",C24=""),"",IF(B24="","Missing in Ledger",IF(C24="","Missing in Statement",IF(D24&gt;1,"Duplicate in Statement",IF(ABS(B24-C24)&gt;0.005,"Amount Break","Matched")))))</f>
        <v>Matched</v>
      </c>
      <c r="F24" s="29" t="n">
        <f aca="false">IF(AND(ISNUMBER(B24),ISNUMBER(C24)),ROUND(B24-C24,2),"")</f>
        <v>0</v>
      </c>
      <c r="G24" s="29" t="n">
        <f aca="false">IF(E24="Amount Break",B24-C24,IF(E24="Missing in Statement",B24,IF(E24="Missing in Ledger",-C24,IF(E24="Duplicate in Statement",-C24*(D24-1),0))))</f>
        <v>0</v>
      </c>
      <c r="H24" s="27" t="str">
        <f aca="false">IFERROR(INDEX(Transactions!$H$2:$H$114,MATCH(A24,Transactions!$A$2:$A$114,0)),"")</f>
        <v>Delta Cloud Systems Pvt Ltd</v>
      </c>
      <c r="I24" s="27"/>
    </row>
    <row r="25" customFormat="false" ht="15" hidden="false" customHeight="false" outlineLevel="0" collapsed="false">
      <c r="A25" s="27" t="s">
        <v>345</v>
      </c>
      <c r="B25" s="29" t="n">
        <f aca="false">IFERROR(INDEX(Transactions!$E$2:$E$114,MATCH(A25,Transactions!$A$2:$A$114,0)),"")</f>
        <v>89900</v>
      </c>
      <c r="C25" s="29" t="n">
        <f aca="false">IFERROR(INDEX(Src_BankStatement!$C$2:$C$114,MATCH(A25,Src_BankStatement!$A$2:$A$114,0)),"")</f>
        <v>89900</v>
      </c>
      <c r="D25" s="27" t="n">
        <f aca="false">COUNTIF(Src_BankStatement!$A$2:$A$114,A25)</f>
        <v>1</v>
      </c>
      <c r="E25" s="27" t="str">
        <f aca="false">IF(AND(B25="",C25=""),"",IF(B25="","Missing in Ledger",IF(C25="","Missing in Statement",IF(D25&gt;1,"Duplicate in Statement",IF(ABS(B25-C25)&gt;0.005,"Amount Break","Matched")))))</f>
        <v>Matched</v>
      </c>
      <c r="F25" s="29" t="n">
        <f aca="false">IF(AND(ISNUMBER(B25),ISNUMBER(C25)),ROUND(B25-C25,2),"")</f>
        <v>0</v>
      </c>
      <c r="G25" s="29" t="n">
        <f aca="false">IF(E25="Amount Break",B25-C25,IF(E25="Missing in Statement",B25,IF(E25="Missing in Ledger",-C25,IF(E25="Duplicate in Statement",-C25*(D25-1),0))))</f>
        <v>0</v>
      </c>
      <c r="H25" s="27" t="str">
        <f aca="false">IFERROR(INDEX(Transactions!$H$2:$H$114,MATCH(A25,Transactions!$A$2:$A$114,0)),"")</f>
        <v>Orchid Textiles Pvt Ltd</v>
      </c>
      <c r="I25" s="27"/>
    </row>
    <row r="26" customFormat="false" ht="15" hidden="false" customHeight="false" outlineLevel="0" collapsed="false">
      <c r="A26" s="27" t="s">
        <v>346</v>
      </c>
      <c r="B26" s="29" t="n">
        <f aca="false">IFERROR(INDEX(Transactions!$E$2:$E$114,MATCH(A26,Transactions!$A$2:$A$114,0)),"")</f>
        <v>80200</v>
      </c>
      <c r="C26" s="29" t="n">
        <f aca="false">IFERROR(INDEX(Src_BankStatement!$C$2:$C$114,MATCH(A26,Src_BankStatement!$A$2:$A$114,0)),"")</f>
        <v>80200</v>
      </c>
      <c r="D26" s="27" t="n">
        <f aca="false">COUNTIF(Src_BankStatement!$A$2:$A$114,A26)</f>
        <v>1</v>
      </c>
      <c r="E26" s="27" t="str">
        <f aca="false">IF(AND(B26="",C26=""),"",IF(B26="","Missing in Ledger",IF(C26="","Missing in Statement",IF(D26&gt;1,"Duplicate in Statement",IF(ABS(B26-C26)&gt;0.005,"Amount Break","Matched")))))</f>
        <v>Matched</v>
      </c>
      <c r="F26" s="29" t="n">
        <f aca="false">IF(AND(ISNUMBER(B26),ISNUMBER(C26)),ROUND(B26-C26,2),"")</f>
        <v>0</v>
      </c>
      <c r="G26" s="29" t="n">
        <f aca="false">IF(E26="Amount Break",B26-C26,IF(E26="Missing in Statement",B26,IF(E26="Missing in Ledger",-C26,IF(E26="Duplicate in Statement",-C26*(D26-1),0))))</f>
        <v>0</v>
      </c>
      <c r="H26" s="27" t="str">
        <f aca="false">IFERROR(INDEX(Transactions!$H$2:$H$114,MATCH(A26,Transactions!$A$2:$A$114,0)),"")</f>
        <v>Nordic Precision Manufacturing GmbH</v>
      </c>
      <c r="I26" s="27"/>
    </row>
    <row r="27" customFormat="false" ht="15" hidden="false" customHeight="false" outlineLevel="0" collapsed="false">
      <c r="A27" s="27" t="s">
        <v>347</v>
      </c>
      <c r="B27" s="29" t="n">
        <f aca="false">IFERROR(INDEX(Transactions!$E$2:$E$114,MATCH(A27,Transactions!$A$2:$A$114,0)),"")</f>
        <v>3400</v>
      </c>
      <c r="C27" s="29" t="n">
        <f aca="false">IFERROR(INDEX(Src_BankStatement!$C$2:$C$114,MATCH(A27,Src_BankStatement!$A$2:$A$114,0)),"")</f>
        <v>3400</v>
      </c>
      <c r="D27" s="27" t="n">
        <f aca="false">COUNTIF(Src_BankStatement!$A$2:$A$114,A27)</f>
        <v>1</v>
      </c>
      <c r="E27" s="27" t="str">
        <f aca="false">IF(AND(B27="",C27=""),"",IF(B27="","Missing in Ledger",IF(C27="","Missing in Statement",IF(D27&gt;1,"Duplicate in Statement",IF(ABS(B27-C27)&gt;0.005,"Amount Break","Matched")))))</f>
        <v>Matched</v>
      </c>
      <c r="F27" s="29" t="n">
        <f aca="false">IF(AND(ISNUMBER(B27),ISNUMBER(C27)),ROUND(B27-C27,2),"")</f>
        <v>0</v>
      </c>
      <c r="G27" s="29" t="n">
        <f aca="false">IF(E27="Amount Break",B27-C27,IF(E27="Missing in Statement",B27,IF(E27="Missing in Ledger",-C27,IF(E27="Duplicate in Statement",-C27*(D27-1),0))))</f>
        <v>0</v>
      </c>
      <c r="H27" s="27" t="str">
        <f aca="false">IFERROR(INDEX(Transactions!$H$2:$H$114,MATCH(A27,Transactions!$A$2:$A$114,0)),"")</f>
        <v>Spice Route Restaurants Group Inc</v>
      </c>
      <c r="I27" s="27"/>
    </row>
    <row r="28" customFormat="false" ht="15" hidden="false" customHeight="false" outlineLevel="0" collapsed="false">
      <c r="A28" s="27" t="s">
        <v>349</v>
      </c>
      <c r="B28" s="29" t="n">
        <f aca="false">IFERROR(INDEX(Transactions!$E$2:$E$114,MATCH(A28,Transactions!$A$2:$A$114,0)),"")</f>
        <v>37000</v>
      </c>
      <c r="C28" s="29" t="n">
        <f aca="false">IFERROR(INDEX(Src_BankStatement!$C$2:$C$114,MATCH(A28,Src_BankStatement!$A$2:$A$114,0)),"")</f>
        <v>37000</v>
      </c>
      <c r="D28" s="27" t="n">
        <f aca="false">COUNTIF(Src_BankStatement!$A$2:$A$114,A28)</f>
        <v>1</v>
      </c>
      <c r="E28" s="27" t="str">
        <f aca="false">IF(AND(B28="",C28=""),"",IF(B28="","Missing in Ledger",IF(C28="","Missing in Statement",IF(D28&gt;1,"Duplicate in Statement",IF(ABS(B28-C28)&gt;0.005,"Amount Break","Matched")))))</f>
        <v>Matched</v>
      </c>
      <c r="F28" s="29" t="n">
        <f aca="false">IF(AND(ISNUMBER(B28),ISNUMBER(C28)),ROUND(B28-C28,2),"")</f>
        <v>0</v>
      </c>
      <c r="G28" s="29" t="n">
        <f aca="false">IF(E28="Amount Break",B28-C28,IF(E28="Missing in Statement",B28,IF(E28="Missing in Ledger",-C28,IF(E28="Duplicate in Statement",-C28*(D28-1),0))))</f>
        <v>0</v>
      </c>
      <c r="H28" s="27" t="str">
        <f aca="false">IFERROR(INDEX(Transactions!$H$2:$H$114,MATCH(A28,Transactions!$A$2:$A$114,0)),"")</f>
        <v>Harbour Point Trading Co</v>
      </c>
      <c r="I28" s="27"/>
    </row>
    <row r="29" customFormat="false" ht="15" hidden="false" customHeight="false" outlineLevel="0" collapsed="false">
      <c r="A29" s="27" t="s">
        <v>350</v>
      </c>
      <c r="B29" s="29" t="n">
        <f aca="false">IFERROR(INDEX(Transactions!$E$2:$E$114,MATCH(A29,Transactions!$A$2:$A$114,0)),"")</f>
        <v>30000</v>
      </c>
      <c r="C29" s="29" t="n">
        <f aca="false">IFERROR(INDEX(Src_BankStatement!$C$2:$C$114,MATCH(A29,Src_BankStatement!$A$2:$A$114,0)),"")</f>
        <v>30000</v>
      </c>
      <c r="D29" s="27" t="n">
        <f aca="false">COUNTIF(Src_BankStatement!$A$2:$A$114,A29)</f>
        <v>1</v>
      </c>
      <c r="E29" s="27" t="str">
        <f aca="false">IF(AND(B29="",C29=""),"",IF(B29="","Missing in Ledger",IF(C29="","Missing in Statement",IF(D29&gt;1,"Duplicate in Statement",IF(ABS(B29-C29)&gt;0.005,"Amount Break","Matched")))))</f>
        <v>Matched</v>
      </c>
      <c r="F29" s="29" t="n">
        <f aca="false">IF(AND(ISNUMBER(B29),ISNUMBER(C29)),ROUND(B29-C29,2),"")</f>
        <v>0</v>
      </c>
      <c r="G29" s="29" t="n">
        <f aca="false">IF(E29="Amount Break",B29-C29,IF(E29="Missing in Statement",B29,IF(E29="Missing in Ledger",-C29,IF(E29="Duplicate in Statement",-C29*(D29-1),0))))</f>
        <v>0</v>
      </c>
      <c r="H29" s="27" t="str">
        <f aca="false">IFERROR(INDEX(Transactions!$H$2:$H$114,MATCH(A29,Transactions!$A$2:$A$114,0)),"")</f>
        <v>The Halvorsen Family Trust</v>
      </c>
      <c r="I29" s="27"/>
    </row>
    <row r="30" customFormat="false" ht="15" hidden="false" customHeight="false" outlineLevel="0" collapsed="false">
      <c r="A30" s="27" t="s">
        <v>352</v>
      </c>
      <c r="B30" s="29" t="n">
        <f aca="false">IFERROR(INDEX(Transactions!$E$2:$E$114,MATCH(A30,Transactions!$A$2:$A$114,0)),"")</f>
        <v>18100</v>
      </c>
      <c r="C30" s="29" t="n">
        <f aca="false">IFERROR(INDEX(Src_BankStatement!$C$2:$C$114,MATCH(A30,Src_BankStatement!$A$2:$A$114,0)),"")</f>
        <v>18100</v>
      </c>
      <c r="D30" s="27" t="n">
        <f aca="false">COUNTIF(Src_BankStatement!$A$2:$A$114,A30)</f>
        <v>1</v>
      </c>
      <c r="E30" s="27" t="str">
        <f aca="false">IF(AND(B30="",C30=""),"",IF(B30="","Missing in Ledger",IF(C30="","Missing in Statement",IF(D30&gt;1,"Duplicate in Statement",IF(ABS(B30-C30)&gt;0.005,"Amount Break","Matched")))))</f>
        <v>Matched</v>
      </c>
      <c r="F30" s="29" t="n">
        <f aca="false">IF(AND(ISNUMBER(B30),ISNUMBER(C30)),ROUND(B30-C30,2),"")</f>
        <v>0</v>
      </c>
      <c r="G30" s="29" t="n">
        <f aca="false">IF(E30="Amount Break",B30-C30,IF(E30="Missing in Statement",B30,IF(E30="Missing in Ledger",-C30,IF(E30="Duplicate in Statement",-C30*(D30-1),0))))</f>
        <v>0</v>
      </c>
      <c r="H30" s="27" t="str">
        <f aca="false">IFERROR(INDEX(Transactions!$H$2:$H$114,MATCH(A30,Transactions!$A$2:$A$114,0)),"")</f>
        <v>Emerald Isle Software Ltd</v>
      </c>
      <c r="I30" s="27"/>
    </row>
    <row r="31" customFormat="false" ht="15" hidden="false" customHeight="false" outlineLevel="0" collapsed="false">
      <c r="A31" s="27" t="s">
        <v>353</v>
      </c>
      <c r="B31" s="29" t="n">
        <f aca="false">IFERROR(INDEX(Transactions!$E$2:$E$114,MATCH(A31,Transactions!$A$2:$A$114,0)),"")</f>
        <v>4200</v>
      </c>
      <c r="C31" s="29" t="n">
        <f aca="false">IFERROR(INDEX(Src_BankStatement!$C$2:$C$114,MATCH(A31,Src_BankStatement!$A$2:$A$114,0)),"")</f>
        <v>4200</v>
      </c>
      <c r="D31" s="27" t="n">
        <f aca="false">COUNTIF(Src_BankStatement!$A$2:$A$114,A31)</f>
        <v>1</v>
      </c>
      <c r="E31" s="27" t="str">
        <f aca="false">IF(AND(B31="",C31=""),"",IF(B31="","Missing in Ledger",IF(C31="","Missing in Statement",IF(D31&gt;1,"Duplicate in Statement",IF(ABS(B31-C31)&gt;0.005,"Amount Break","Matched")))))</f>
        <v>Matched</v>
      </c>
      <c r="F31" s="29" t="n">
        <f aca="false">IF(AND(ISNUMBER(B31),ISNUMBER(C31)),ROUND(B31-C31,2),"")</f>
        <v>0</v>
      </c>
      <c r="G31" s="29" t="n">
        <f aca="false">IF(E31="Amount Break",B31-C31,IF(E31="Missing in Statement",B31,IF(E31="Missing in Ledger",-C31,IF(E31="Duplicate in Statement",-C31*(D31-1),0))))</f>
        <v>0</v>
      </c>
      <c r="H31" s="27" t="str">
        <f aca="false">IFERROR(INDEX(Transactions!$H$2:$H$114,MATCH(A31,Transactions!$A$2:$A$114,0)),"")</f>
        <v>Sunrise Auto Traders LLC</v>
      </c>
      <c r="I31" s="27"/>
    </row>
    <row r="32" customFormat="false" ht="15" hidden="false" customHeight="false" outlineLevel="0" collapsed="false">
      <c r="A32" s="27" t="s">
        <v>354</v>
      </c>
      <c r="B32" s="29" t="n">
        <f aca="false">IFERROR(INDEX(Transactions!$E$2:$E$114,MATCH(A32,Transactions!$A$2:$A$114,0)),"")</f>
        <v>58000</v>
      </c>
      <c r="C32" s="29" t="n">
        <f aca="false">IFERROR(INDEX(Src_BankStatement!$C$2:$C$114,MATCH(A32,Src_BankStatement!$A$2:$A$114,0)),"")</f>
        <v>58000</v>
      </c>
      <c r="D32" s="27" t="n">
        <f aca="false">COUNTIF(Src_BankStatement!$A$2:$A$114,A32)</f>
        <v>1</v>
      </c>
      <c r="E32" s="27" t="str">
        <f aca="false">IF(AND(B32="",C32=""),"",IF(B32="","Missing in Ledger",IF(C32="","Missing in Statement",IF(D32&gt;1,"Duplicate in Statement",IF(ABS(B32-C32)&gt;0.005,"Amount Break","Matched")))))</f>
        <v>Matched</v>
      </c>
      <c r="F32" s="29" t="n">
        <f aca="false">IF(AND(ISNUMBER(B32),ISNUMBER(C32)),ROUND(B32-C32,2),"")</f>
        <v>0</v>
      </c>
      <c r="G32" s="29" t="n">
        <f aca="false">IF(E32="Amount Break",B32-C32,IF(E32="Missing in Statement",B32,IF(E32="Missing in Ledger",-C32,IF(E32="Duplicate in Statement",-C32*(D32-1),0))))</f>
        <v>0</v>
      </c>
      <c r="H32" s="27" t="str">
        <f aca="false">IFERROR(INDEX(Transactions!$H$2:$H$114,MATCH(A32,Transactions!$A$2:$A$114,0)),"")</f>
        <v>Sakura Electronics KK</v>
      </c>
      <c r="I32" s="27"/>
    </row>
    <row r="33" customFormat="false" ht="15" hidden="false" customHeight="false" outlineLevel="0" collapsed="false">
      <c r="A33" s="27" t="s">
        <v>355</v>
      </c>
      <c r="B33" s="29" t="n">
        <f aca="false">IFERROR(INDEX(Transactions!$E$2:$E$114,MATCH(A33,Transactions!$A$2:$A$114,0)),"")</f>
        <v>18600</v>
      </c>
      <c r="C33" s="29" t="n">
        <f aca="false">IFERROR(INDEX(Src_BankStatement!$C$2:$C$114,MATCH(A33,Src_BankStatement!$A$2:$A$114,0)),"")</f>
        <v>18600</v>
      </c>
      <c r="D33" s="27" t="n">
        <f aca="false">COUNTIF(Src_BankStatement!$A$2:$A$114,A33)</f>
        <v>1</v>
      </c>
      <c r="E33" s="27" t="str">
        <f aca="false">IF(AND(B33="",C33=""),"",IF(B33="","Missing in Ledger",IF(C33="","Missing in Statement",IF(D33&gt;1,"Duplicate in Statement",IF(ABS(B33-C33)&gt;0.005,"Amount Break","Matched")))))</f>
        <v>Matched</v>
      </c>
      <c r="F33" s="29" t="n">
        <f aca="false">IF(AND(ISNUMBER(B33),ISNUMBER(C33)),ROUND(B33-C33,2),"")</f>
        <v>0</v>
      </c>
      <c r="G33" s="29" t="n">
        <f aca="false">IF(E33="Amount Break",B33-C33,IF(E33="Missing in Statement",B33,IF(E33="Missing in Ledger",-C33,IF(E33="Duplicate in Statement",-C33*(D33-1),0))))</f>
        <v>0</v>
      </c>
      <c r="H33" s="27" t="str">
        <f aca="false">IFERROR(INDEX(Transactions!$H$2:$H$114,MATCH(A33,Transactions!$A$2:$A$114,0)),"")</f>
        <v>Maple Leaf Health Clinics Inc</v>
      </c>
      <c r="I33" s="27"/>
    </row>
    <row r="34" customFormat="false" ht="15" hidden="false" customHeight="false" outlineLevel="0" collapsed="false">
      <c r="A34" s="27" t="s">
        <v>356</v>
      </c>
      <c r="B34" s="29" t="n">
        <f aca="false">IFERROR(INDEX(Transactions!$E$2:$E$114,MATCH(A34,Transactions!$A$2:$A$114,0)),"")</f>
        <v>20600</v>
      </c>
      <c r="C34" s="29" t="n">
        <f aca="false">IFERROR(INDEX(Src_BankStatement!$C$2:$C$114,MATCH(A34,Src_BankStatement!$A$2:$A$114,0)),"")</f>
        <v>20600</v>
      </c>
      <c r="D34" s="27" t="n">
        <f aca="false">COUNTIF(Src_BankStatement!$A$2:$A$114,A34)</f>
        <v>1</v>
      </c>
      <c r="E34" s="27" t="str">
        <f aca="false">IF(AND(B34="",C34=""),"",IF(B34="","Missing in Ledger",IF(C34="","Missing in Statement",IF(D34&gt;1,"Duplicate in Statement",IF(ABS(B34-C34)&gt;0.005,"Amount Break","Matched")))))</f>
        <v>Matched</v>
      </c>
      <c r="F34" s="29" t="n">
        <f aca="false">IF(AND(ISNUMBER(B34),ISNUMBER(C34)),ROUND(B34-C34,2),"")</f>
        <v>0</v>
      </c>
      <c r="G34" s="29" t="n">
        <f aca="false">IF(E34="Amount Break",B34-C34,IF(E34="Missing in Statement",B34,IF(E34="Missing in Ledger",-C34,IF(E34="Duplicate in Statement",-C34*(D34-1),0))))</f>
        <v>0</v>
      </c>
      <c r="H34" s="27" t="str">
        <f aca="false">IFERROR(INDEX(Transactions!$H$2:$H$114,MATCH(A34,Transactions!$A$2:$A$114,0)),"")</f>
        <v>Meridian Textile Exports Pvt Ltd</v>
      </c>
      <c r="I34" s="27"/>
    </row>
    <row r="35" customFormat="false" ht="15" hidden="false" customHeight="false" outlineLevel="0" collapsed="false">
      <c r="A35" s="27" t="s">
        <v>357</v>
      </c>
      <c r="B35" s="29" t="n">
        <f aca="false">IFERROR(INDEX(Transactions!$E$2:$E$114,MATCH(A35,Transactions!$A$2:$A$114,0)),"")</f>
        <v>3600</v>
      </c>
      <c r="C35" s="29" t="n">
        <f aca="false">IFERROR(INDEX(Src_BankStatement!$C$2:$C$114,MATCH(A35,Src_BankStatement!$A$2:$A$114,0)),"")</f>
        <v>3600</v>
      </c>
      <c r="D35" s="27" t="n">
        <f aca="false">COUNTIF(Src_BankStatement!$A$2:$A$114,A35)</f>
        <v>1</v>
      </c>
      <c r="E35" s="27" t="str">
        <f aca="false">IF(AND(B35="",C35=""),"",IF(B35="","Missing in Ledger",IF(C35="","Missing in Statement",IF(D35&gt;1,"Duplicate in Statement",IF(ABS(B35-C35)&gt;0.005,"Amount Break","Matched")))))</f>
        <v>Matched</v>
      </c>
      <c r="F35" s="29" t="n">
        <f aca="false">IF(AND(ISNUMBER(B35),ISNUMBER(C35)),ROUND(B35-C35,2),"")</f>
        <v>0</v>
      </c>
      <c r="G35" s="29" t="n">
        <f aca="false">IF(E35="Amount Break",B35-C35,IF(E35="Missing in Statement",B35,IF(E35="Missing in Ledger",-C35,IF(E35="Duplicate in Statement",-C35*(D35-1),0))))</f>
        <v>0</v>
      </c>
      <c r="H35" s="27" t="str">
        <f aca="false">IFERROR(INDEX(Transactions!$H$2:$H$114,MATCH(A35,Transactions!$A$2:$A$114,0)),"")</f>
        <v>Ridgeway Used Cars Ltd</v>
      </c>
      <c r="I35" s="27"/>
    </row>
    <row r="36" customFormat="false" ht="15" hidden="false" customHeight="false" outlineLevel="0" collapsed="false">
      <c r="A36" s="27" t="s">
        <v>358</v>
      </c>
      <c r="B36" s="29" t="n">
        <f aca="false">IFERROR(INDEX(Transactions!$E$2:$E$114,MATCH(A36,Transactions!$A$2:$A$114,0)),"")</f>
        <v>4000</v>
      </c>
      <c r="C36" s="29" t="n">
        <f aca="false">IFERROR(INDEX(Src_BankStatement!$C$2:$C$114,MATCH(A36,Src_BankStatement!$A$2:$A$114,0)),"")</f>
        <v>4000</v>
      </c>
      <c r="D36" s="27" t="n">
        <f aca="false">COUNTIF(Src_BankStatement!$A$2:$A$114,A36)</f>
        <v>1</v>
      </c>
      <c r="E36" s="27" t="str">
        <f aca="false">IF(AND(B36="",C36=""),"",IF(B36="","Missing in Ledger",IF(C36="","Missing in Statement",IF(D36&gt;1,"Duplicate in Statement",IF(ABS(B36-C36)&gt;0.005,"Amount Break","Matched")))))</f>
        <v>Matched</v>
      </c>
      <c r="F36" s="29" t="n">
        <f aca="false">IF(AND(ISNUMBER(B36),ISNUMBER(C36)),ROUND(B36-C36,2),"")</f>
        <v>0</v>
      </c>
      <c r="G36" s="29" t="n">
        <f aca="false">IF(E36="Amount Break",B36-C36,IF(E36="Missing in Statement",B36,IF(E36="Missing in Ledger",-C36,IF(E36="Duplicate in Statement",-C36*(D36-1),0))))</f>
        <v>0</v>
      </c>
      <c r="H36" s="27" t="str">
        <f aca="false">IFERROR(INDEX(Transactions!$H$2:$H$114,MATCH(A36,Transactions!$A$2:$A$114,0)),"")</f>
        <v>Metro Fuel &amp; Convenience Stores Inc</v>
      </c>
      <c r="I36" s="27"/>
    </row>
    <row r="37" customFormat="false" ht="15" hidden="false" customHeight="false" outlineLevel="0" collapsed="false">
      <c r="A37" s="27" t="s">
        <v>359</v>
      </c>
      <c r="B37" s="29" t="n">
        <f aca="false">IFERROR(INDEX(Transactions!$E$2:$E$114,MATCH(A37,Transactions!$A$2:$A$114,0)),"")</f>
        <v>10000</v>
      </c>
      <c r="C37" s="29" t="n">
        <f aca="false">IFERROR(INDEX(Src_BankStatement!$C$2:$C$114,MATCH(A37,Src_BankStatement!$A$2:$A$114,0)),"")</f>
        <v>10000</v>
      </c>
      <c r="D37" s="27" t="n">
        <f aca="false">COUNTIF(Src_BankStatement!$A$2:$A$114,A37)</f>
        <v>1</v>
      </c>
      <c r="E37" s="27" t="str">
        <f aca="false">IF(AND(B37="",C37=""),"",IF(B37="","Missing in Ledger",IF(C37="","Missing in Statement",IF(D37&gt;1,"Duplicate in Statement",IF(ABS(B37-C37)&gt;0.005,"Amount Break","Matched")))))</f>
        <v>Matched</v>
      </c>
      <c r="F37" s="29" t="n">
        <f aca="false">IF(AND(ISNUMBER(B37),ISNUMBER(C37)),ROUND(B37-C37,2),"")</f>
        <v>0</v>
      </c>
      <c r="G37" s="29" t="n">
        <f aca="false">IF(E37="Amount Break",B37-C37,IF(E37="Missing in Statement",B37,IF(E37="Missing in Ledger",-C37,IF(E37="Duplicate in Statement",-C37*(D37-1),0))))</f>
        <v>0</v>
      </c>
      <c r="H37" s="27" t="str">
        <f aca="false">IFERROR(INDEX(Transactions!$H$2:$H$114,MATCH(A37,Transactions!$A$2:$A$114,0)),"")</f>
        <v>Lakeview Medical Supplies Inc</v>
      </c>
      <c r="I37" s="27"/>
    </row>
    <row r="38" customFormat="false" ht="15" hidden="false" customHeight="false" outlineLevel="0" collapsed="false">
      <c r="A38" s="27" t="s">
        <v>360</v>
      </c>
      <c r="B38" s="29" t="n">
        <f aca="false">IFERROR(INDEX(Transactions!$E$2:$E$114,MATCH(A38,Transactions!$A$2:$A$114,0)),"")</f>
        <v>61900</v>
      </c>
      <c r="C38" s="29" t="n">
        <f aca="false">IFERROR(INDEX(Src_BankStatement!$C$2:$C$114,MATCH(A38,Src_BankStatement!$A$2:$A$114,0)),"")</f>
        <v>61900</v>
      </c>
      <c r="D38" s="27" t="n">
        <f aca="false">COUNTIF(Src_BankStatement!$A$2:$A$114,A38)</f>
        <v>1</v>
      </c>
      <c r="E38" s="27" t="str">
        <f aca="false">IF(AND(B38="",C38=""),"",IF(B38="","Missing in Ledger",IF(C38="","Missing in Statement",IF(D38&gt;1,"Duplicate in Statement",IF(ABS(B38-C38)&gt;0.005,"Amount Break","Matched")))))</f>
        <v>Matched</v>
      </c>
      <c r="F38" s="29" t="n">
        <f aca="false">IF(AND(ISNUMBER(B38),ISNUMBER(C38)),ROUND(B38-C38,2),"")</f>
        <v>0</v>
      </c>
      <c r="G38" s="29" t="n">
        <f aca="false">IF(E38="Amount Break",B38-C38,IF(E38="Missing in Statement",B38,IF(E38="Missing in Ledger",-C38,IF(E38="Duplicate in Statement",-C38*(D38-1),0))))</f>
        <v>0</v>
      </c>
      <c r="H38" s="27" t="str">
        <f aca="false">IFERROR(INDEX(Transactions!$H$2:$H$114,MATCH(A38,Transactions!$A$2:$A$114,0)),"")</f>
        <v>Nordic Precision Manufacturing GmbH</v>
      </c>
      <c r="I38" s="27"/>
    </row>
    <row r="39" customFormat="false" ht="15" hidden="false" customHeight="false" outlineLevel="0" collapsed="false">
      <c r="A39" s="27" t="s">
        <v>361</v>
      </c>
      <c r="B39" s="29" t="n">
        <f aca="false">IFERROR(INDEX(Transactions!$E$2:$E$114,MATCH(A39,Transactions!$A$2:$A$114,0)),"")</f>
        <v>47300</v>
      </c>
      <c r="C39" s="29" t="n">
        <f aca="false">IFERROR(INDEX(Src_BankStatement!$C$2:$C$114,MATCH(A39,Src_BankStatement!$A$2:$A$114,0)),"")</f>
        <v>47300</v>
      </c>
      <c r="D39" s="27" t="n">
        <f aca="false">COUNTIF(Src_BankStatement!$A$2:$A$114,A39)</f>
        <v>1</v>
      </c>
      <c r="E39" s="27" t="str">
        <f aca="false">IF(AND(B39="",C39=""),"",IF(B39="","Missing in Ledger",IF(C39="","Missing in Statement",IF(D39&gt;1,"Duplicate in Statement",IF(ABS(B39-C39)&gt;0.005,"Amount Break","Matched")))))</f>
        <v>Matched</v>
      </c>
      <c r="F39" s="29" t="n">
        <f aca="false">IF(AND(ISNUMBER(B39),ISNUMBER(C39)),ROUND(B39-C39,2),"")</f>
        <v>0</v>
      </c>
      <c r="G39" s="29" t="n">
        <f aca="false">IF(E39="Amount Break",B39-C39,IF(E39="Missing in Statement",B39,IF(E39="Missing in Ledger",-C39,IF(E39="Duplicate in Statement",-C39*(D39-1),0))))</f>
        <v>0</v>
      </c>
      <c r="H39" s="27" t="str">
        <f aca="false">IFERROR(INDEX(Transactions!$H$2:$H$114,MATCH(A39,Transactions!$A$2:$A$114,0)),"")</f>
        <v>Bluewave Software Labs Inc</v>
      </c>
      <c r="I39" s="27"/>
    </row>
    <row r="40" customFormat="false" ht="15" hidden="false" customHeight="false" outlineLevel="0" collapsed="false">
      <c r="A40" s="27" t="s">
        <v>362</v>
      </c>
      <c r="B40" s="29" t="n">
        <f aca="false">IFERROR(INDEX(Transactions!$E$2:$E$114,MATCH(A40,Transactions!$A$2:$A$114,0)),"")</f>
        <v>28000</v>
      </c>
      <c r="C40" s="29" t="n">
        <f aca="false">IFERROR(INDEX(Src_BankStatement!$C$2:$C$114,MATCH(A40,Src_BankStatement!$A$2:$A$114,0)),"")</f>
        <v>28000</v>
      </c>
      <c r="D40" s="27" t="n">
        <f aca="false">COUNTIF(Src_BankStatement!$A$2:$A$114,A40)</f>
        <v>1</v>
      </c>
      <c r="E40" s="27" t="str">
        <f aca="false">IF(AND(B40="",C40=""),"",IF(B40="","Missing in Ledger",IF(C40="","Missing in Statement",IF(D40&gt;1,"Duplicate in Statement",IF(ABS(B40-C40)&gt;0.005,"Amount Break","Matched")))))</f>
        <v>Matched</v>
      </c>
      <c r="F40" s="29" t="n">
        <f aca="false">IF(AND(ISNUMBER(B40),ISNUMBER(C40)),ROUND(B40-C40,2),"")</f>
        <v>0</v>
      </c>
      <c r="G40" s="29" t="n">
        <f aca="false">IF(E40="Amount Break",B40-C40,IF(E40="Missing in Statement",B40,IF(E40="Missing in Ledger",-C40,IF(E40="Duplicate in Statement",-C40*(D40-1),0))))</f>
        <v>0</v>
      </c>
      <c r="H40" s="27" t="str">
        <f aca="false">IFERROR(INDEX(Transactions!$H$2:$H$114,MATCH(A40,Transactions!$A$2:$A$114,0)),"")</f>
        <v>Golden Crest Jewellers LLC</v>
      </c>
      <c r="I40" s="27"/>
    </row>
    <row r="41" customFormat="false" ht="15" hidden="false" customHeight="false" outlineLevel="0" collapsed="false">
      <c r="A41" s="27" t="s">
        <v>363</v>
      </c>
      <c r="B41" s="29" t="n">
        <f aca="false">IFERROR(INDEX(Transactions!$E$2:$E$114,MATCH(A41,Transactions!$A$2:$A$114,0)),"")</f>
        <v>50300</v>
      </c>
      <c r="C41" s="29" t="n">
        <f aca="false">IFERROR(INDEX(Src_BankStatement!$C$2:$C$114,MATCH(A41,Src_BankStatement!$A$2:$A$114,0)),"")</f>
        <v>50300</v>
      </c>
      <c r="D41" s="27" t="n">
        <f aca="false">COUNTIF(Src_BankStatement!$A$2:$A$114,A41)</f>
        <v>1</v>
      </c>
      <c r="E41" s="27" t="str">
        <f aca="false">IF(AND(B41="",C41=""),"",IF(B41="","Missing in Ledger",IF(C41="","Missing in Statement",IF(D41&gt;1,"Duplicate in Statement",IF(ABS(B41-C41)&gt;0.005,"Amount Break","Matched")))))</f>
        <v>Matched</v>
      </c>
      <c r="F41" s="29" t="n">
        <f aca="false">IF(AND(ISNUMBER(B41),ISNUMBER(C41)),ROUND(B41-C41,2),"")</f>
        <v>0</v>
      </c>
      <c r="G41" s="29" t="n">
        <f aca="false">IF(E41="Amount Break",B41-C41,IF(E41="Missing in Statement",B41,IF(E41="Missing in Ledger",-C41,IF(E41="Duplicate in Statement",-C41*(D41-1),0))))</f>
        <v>0</v>
      </c>
      <c r="H41" s="27" t="str">
        <f aca="false">IFERROR(INDEX(Transactions!$H$2:$H$114,MATCH(A41,Transactions!$A$2:$A$114,0)),"")</f>
        <v>Bluewave Software Labs Inc</v>
      </c>
      <c r="I41" s="27"/>
    </row>
    <row r="42" customFormat="false" ht="15" hidden="false" customHeight="false" outlineLevel="0" collapsed="false">
      <c r="A42" s="27" t="s">
        <v>364</v>
      </c>
      <c r="B42" s="29" t="n">
        <f aca="false">IFERROR(INDEX(Transactions!$E$2:$E$114,MATCH(A42,Transactions!$A$2:$A$114,0)),"")</f>
        <v>77100</v>
      </c>
      <c r="C42" s="29" t="n">
        <f aca="false">IFERROR(INDEX(Src_BankStatement!$C$2:$C$114,MATCH(A42,Src_BankStatement!$A$2:$A$114,0)),"")</f>
        <v>77100</v>
      </c>
      <c r="D42" s="27" t="n">
        <f aca="false">COUNTIF(Src_BankStatement!$A$2:$A$114,A42)</f>
        <v>1</v>
      </c>
      <c r="E42" s="27" t="str">
        <f aca="false">IF(AND(B42="",C42=""),"",IF(B42="","Missing in Ledger",IF(C42="","Missing in Statement",IF(D42&gt;1,"Duplicate in Statement",IF(ABS(B42-C42)&gt;0.005,"Amount Break","Matched")))))</f>
        <v>Matched</v>
      </c>
      <c r="F42" s="29" t="n">
        <f aca="false">IF(AND(ISNUMBER(B42),ISNUMBER(C42)),ROUND(B42-C42,2),"")</f>
        <v>0</v>
      </c>
      <c r="G42" s="29" t="n">
        <f aca="false">IF(E42="Amount Break",B42-C42,IF(E42="Missing in Statement",B42,IF(E42="Missing in Ledger",-C42,IF(E42="Duplicate in Statement",-C42*(D42-1),0))))</f>
        <v>0</v>
      </c>
      <c r="H42" s="27" t="str">
        <f aca="false">IFERROR(INDEX(Transactions!$H$2:$H$114,MATCH(A42,Transactions!$A$2:$A$114,0)),"")</f>
        <v>Evergreen Charitable Foundation</v>
      </c>
      <c r="I42" s="27"/>
    </row>
    <row r="43" customFormat="false" ht="15" hidden="false" customHeight="false" outlineLevel="0" collapsed="false">
      <c r="A43" s="27" t="s">
        <v>365</v>
      </c>
      <c r="B43" s="29" t="n">
        <f aca="false">IFERROR(INDEX(Transactions!$E$2:$E$114,MATCH(A43,Transactions!$A$2:$A$114,0)),"")</f>
        <v>120000</v>
      </c>
      <c r="C43" s="29" t="n">
        <f aca="false">IFERROR(INDEX(Src_BankStatement!$C$2:$C$114,MATCH(A43,Src_BankStatement!$A$2:$A$114,0)),"")</f>
        <v>120000</v>
      </c>
      <c r="D43" s="27" t="n">
        <f aca="false">COUNTIF(Src_BankStatement!$A$2:$A$114,A43)</f>
        <v>1</v>
      </c>
      <c r="E43" s="27" t="str">
        <f aca="false">IF(AND(B43="",C43=""),"",IF(B43="","Missing in Ledger",IF(C43="","Missing in Statement",IF(D43&gt;1,"Duplicate in Statement",IF(ABS(B43-C43)&gt;0.005,"Amount Break","Matched")))))</f>
        <v>Matched</v>
      </c>
      <c r="F43" s="29" t="n">
        <f aca="false">IF(AND(ISNUMBER(B43),ISNUMBER(C43)),ROUND(B43-C43,2),"")</f>
        <v>0</v>
      </c>
      <c r="G43" s="29" t="n">
        <f aca="false">IF(E43="Amount Break",B43-C43,IF(E43="Missing in Statement",B43,IF(E43="Missing in Ledger",-C43,IF(E43="Duplicate in Statement",-C43*(D43-1),0))))</f>
        <v>0</v>
      </c>
      <c r="H43" s="27" t="str">
        <f aca="false">IFERROR(INDEX(Transactions!$H$2:$H$114,MATCH(A43,Transactions!$A$2:$A$114,0)),"")</f>
        <v>Irrawaddy Trade Links Ltd</v>
      </c>
      <c r="I43" s="27"/>
    </row>
    <row r="44" customFormat="false" ht="15" hidden="false" customHeight="false" outlineLevel="0" collapsed="false">
      <c r="A44" s="27" t="s">
        <v>366</v>
      </c>
      <c r="B44" s="29" t="n">
        <f aca="false">IFERROR(INDEX(Transactions!$E$2:$E$114,MATCH(A44,Transactions!$A$2:$A$114,0)),"")</f>
        <v>4100</v>
      </c>
      <c r="C44" s="29" t="n">
        <f aca="false">IFERROR(INDEX(Src_BankStatement!$C$2:$C$114,MATCH(A44,Src_BankStatement!$A$2:$A$114,0)),"")</f>
        <v>4100</v>
      </c>
      <c r="D44" s="27" t="n">
        <f aca="false">COUNTIF(Src_BankStatement!$A$2:$A$114,A44)</f>
        <v>1</v>
      </c>
      <c r="E44" s="27" t="str">
        <f aca="false">IF(AND(B44="",C44=""),"",IF(B44="","Missing in Ledger",IF(C44="","Missing in Statement",IF(D44&gt;1,"Duplicate in Statement",IF(ABS(B44-C44)&gt;0.005,"Amount Break","Matched")))))</f>
        <v>Matched</v>
      </c>
      <c r="F44" s="29" t="n">
        <f aca="false">IF(AND(ISNUMBER(B44),ISNUMBER(C44)),ROUND(B44-C44,2),"")</f>
        <v>0</v>
      </c>
      <c r="G44" s="29" t="n">
        <f aca="false">IF(E44="Amount Break",B44-C44,IF(E44="Missing in Statement",B44,IF(E44="Missing in Ledger",-C44,IF(E44="Duplicate in Statement",-C44*(D44-1),0))))</f>
        <v>0</v>
      </c>
      <c r="H44" s="27" t="str">
        <f aca="false">IFERROR(INDEX(Transactions!$H$2:$H$114,MATCH(A44,Transactions!$A$2:$A$114,0)),"")</f>
        <v>Spice Route Restaurants Group Inc</v>
      </c>
      <c r="I44" s="27"/>
    </row>
    <row r="45" customFormat="false" ht="15" hidden="false" customHeight="false" outlineLevel="0" collapsed="false">
      <c r="A45" s="27" t="s">
        <v>367</v>
      </c>
      <c r="B45" s="29" t="n">
        <f aca="false">IFERROR(INDEX(Transactions!$E$2:$E$114,MATCH(A45,Transactions!$A$2:$A$114,0)),"")</f>
        <v>32700</v>
      </c>
      <c r="C45" s="29" t="n">
        <f aca="false">IFERROR(INDEX(Src_BankStatement!$C$2:$C$114,MATCH(A45,Src_BankStatement!$A$2:$A$114,0)),"")</f>
        <v>32700</v>
      </c>
      <c r="D45" s="27" t="n">
        <f aca="false">COUNTIF(Src_BankStatement!$A$2:$A$114,A45)</f>
        <v>1</v>
      </c>
      <c r="E45" s="27" t="str">
        <f aca="false">IF(AND(B45="",C45=""),"",IF(B45="","Missing in Ledger",IF(C45="","Missing in Statement",IF(D45&gt;1,"Duplicate in Statement",IF(ABS(B45-C45)&gt;0.005,"Amount Break","Matched")))))</f>
        <v>Matched</v>
      </c>
      <c r="F45" s="29" t="n">
        <f aca="false">IF(AND(ISNUMBER(B45),ISNUMBER(C45)),ROUND(B45-C45,2),"")</f>
        <v>0</v>
      </c>
      <c r="G45" s="29" t="n">
        <f aca="false">IF(E45="Amount Break",B45-C45,IF(E45="Missing in Statement",B45,IF(E45="Missing in Ledger",-C45,IF(E45="Duplicate in Statement",-C45*(D45-1),0))))</f>
        <v>0</v>
      </c>
      <c r="H45" s="27" t="str">
        <f aca="false">IFERROR(INDEX(Transactions!$H$2:$H$114,MATCH(A45,Transactions!$A$2:$A$114,0)),"")</f>
        <v>Coral Reef Gaming Ltd</v>
      </c>
      <c r="I45" s="27"/>
    </row>
    <row r="46" customFormat="false" ht="15" hidden="false" customHeight="false" outlineLevel="0" collapsed="false">
      <c r="A46" s="27" t="s">
        <v>368</v>
      </c>
      <c r="B46" s="29" t="n">
        <f aca="false">IFERROR(INDEX(Transactions!$E$2:$E$114,MATCH(A46,Transactions!$A$2:$A$114,0)),"")</f>
        <v>13000</v>
      </c>
      <c r="C46" s="29" t="n">
        <f aca="false">IFERROR(INDEX(Src_BankStatement!$C$2:$C$114,MATCH(A46,Src_BankStatement!$A$2:$A$114,0)),"")</f>
        <v>13000</v>
      </c>
      <c r="D46" s="27" t="n">
        <f aca="false">COUNTIF(Src_BankStatement!$A$2:$A$114,A46)</f>
        <v>1</v>
      </c>
      <c r="E46" s="27" t="str">
        <f aca="false">IF(AND(B46="",C46=""),"",IF(B46="","Missing in Ledger",IF(C46="","Missing in Statement",IF(D46&gt;1,"Duplicate in Statement",IF(ABS(B46-C46)&gt;0.005,"Amount Break","Matched")))))</f>
        <v>Matched</v>
      </c>
      <c r="F46" s="29" t="n">
        <f aca="false">IF(AND(ISNUMBER(B46),ISNUMBER(C46)),ROUND(B46-C46,2),"")</f>
        <v>0</v>
      </c>
      <c r="G46" s="29" t="n">
        <f aca="false">IF(E46="Amount Break",B46-C46,IF(E46="Missing in Statement",B46,IF(E46="Missing in Ledger",-C46,IF(E46="Duplicate in Statement",-C46*(D46-1),0))))</f>
        <v>0</v>
      </c>
      <c r="H46" s="27" t="str">
        <f aca="false">IFERROR(INDEX(Transactions!$H$2:$H$114,MATCH(A46,Transactions!$A$2:$A$114,0)),"")</f>
        <v>Crescent Remit Services LLP</v>
      </c>
      <c r="I46" s="27"/>
    </row>
    <row r="47" customFormat="false" ht="15" hidden="false" customHeight="false" outlineLevel="0" collapsed="false">
      <c r="A47" s="27" t="s">
        <v>369</v>
      </c>
      <c r="B47" s="29" t="n">
        <f aca="false">IFERROR(INDEX(Transactions!$E$2:$E$114,MATCH(A47,Transactions!$A$2:$A$114,0)),"")</f>
        <v>32100</v>
      </c>
      <c r="C47" s="29" t="n">
        <f aca="false">IFERROR(INDEX(Src_BankStatement!$C$2:$C$114,MATCH(A47,Src_BankStatement!$A$2:$A$114,0)),"")</f>
        <v>32100</v>
      </c>
      <c r="D47" s="27" t="n">
        <f aca="false">COUNTIF(Src_BankStatement!$A$2:$A$114,A47)</f>
        <v>1</v>
      </c>
      <c r="E47" s="27" t="str">
        <f aca="false">IF(AND(B47="",C47=""),"",IF(B47="","Missing in Ledger",IF(C47="","Missing in Statement",IF(D47&gt;1,"Duplicate in Statement",IF(ABS(B47-C47)&gt;0.005,"Amount Break","Matched")))))</f>
        <v>Matched</v>
      </c>
      <c r="F47" s="29" t="n">
        <f aca="false">IF(AND(ISNUMBER(B47),ISNUMBER(C47)),ROUND(B47-C47,2),"")</f>
        <v>0</v>
      </c>
      <c r="G47" s="29" t="n">
        <f aca="false">IF(E47="Amount Break",B47-C47,IF(E47="Missing in Statement",B47,IF(E47="Missing in Ledger",-C47,IF(E47="Duplicate in Statement",-C47*(D47-1),0))))</f>
        <v>0</v>
      </c>
      <c r="H47" s="27" t="str">
        <f aca="false">IFERROR(INDEX(Transactions!$H$2:$H$114,MATCH(A47,Transactions!$A$2:$A$114,0)),"")</f>
        <v>Zurich Wealth Advisory AG</v>
      </c>
      <c r="I47" s="27"/>
    </row>
    <row r="48" customFormat="false" ht="15" hidden="false" customHeight="false" outlineLevel="0" collapsed="false">
      <c r="A48" s="27" t="s">
        <v>370</v>
      </c>
      <c r="B48" s="29" t="n">
        <f aca="false">IFERROR(INDEX(Transactions!$E$2:$E$114,MATCH(A48,Transactions!$A$2:$A$114,0)),"")</f>
        <v>51500</v>
      </c>
      <c r="C48" s="29" t="n">
        <f aca="false">IFERROR(INDEX(Src_BankStatement!$C$2:$C$114,MATCH(A48,Src_BankStatement!$A$2:$A$114,0)),"")</f>
        <v>51500</v>
      </c>
      <c r="D48" s="27" t="n">
        <f aca="false">COUNTIF(Src_BankStatement!$A$2:$A$114,A48)</f>
        <v>1</v>
      </c>
      <c r="E48" s="27" t="str">
        <f aca="false">IF(AND(B48="",C48=""),"",IF(B48="","Missing in Ledger",IF(C48="","Missing in Statement",IF(D48&gt;1,"Duplicate in Statement",IF(ABS(B48-C48)&gt;0.005,"Amount Break","Matched")))))</f>
        <v>Matched</v>
      </c>
      <c r="F48" s="29" t="n">
        <f aca="false">IF(AND(ISNUMBER(B48),ISNUMBER(C48)),ROUND(B48-C48,2),"")</f>
        <v>0</v>
      </c>
      <c r="G48" s="29" t="n">
        <f aca="false">IF(E48="Amount Break",B48-C48,IF(E48="Missing in Statement",B48,IF(E48="Missing in Ledger",-C48,IF(E48="Duplicate in Statement",-C48*(D48-1),0))))</f>
        <v>0</v>
      </c>
      <c r="H48" s="27" t="str">
        <f aca="false">IFERROR(INDEX(Transactions!$H$2:$H$114,MATCH(A48,Transactions!$A$2:$A$114,0)),"")</f>
        <v>Orchid Textiles Pvt Ltd</v>
      </c>
      <c r="I48" s="27"/>
    </row>
    <row r="49" customFormat="false" ht="15" hidden="false" customHeight="false" outlineLevel="0" collapsed="false">
      <c r="A49" s="27" t="s">
        <v>371</v>
      </c>
      <c r="B49" s="29" t="n">
        <f aca="false">IFERROR(INDEX(Transactions!$E$2:$E$114,MATCH(A49,Transactions!$A$2:$A$114,0)),"")</f>
        <v>27200</v>
      </c>
      <c r="C49" s="29" t="n">
        <f aca="false">IFERROR(INDEX(Src_BankStatement!$C$2:$C$114,MATCH(A49,Src_BankStatement!$A$2:$A$114,0)),"")</f>
        <v>27200</v>
      </c>
      <c r="D49" s="27" t="n">
        <f aca="false">COUNTIF(Src_BankStatement!$A$2:$A$114,A49)</f>
        <v>1</v>
      </c>
      <c r="E49" s="27" t="str">
        <f aca="false">IF(AND(B49="",C49=""),"",IF(B49="","Missing in Ledger",IF(C49="","Missing in Statement",IF(D49&gt;1,"Duplicate in Statement",IF(ABS(B49-C49)&gt;0.005,"Amount Break","Matched")))))</f>
        <v>Matched</v>
      </c>
      <c r="F49" s="29" t="n">
        <f aca="false">IF(AND(ISNUMBER(B49),ISNUMBER(C49)),ROUND(B49-C49,2),"")</f>
        <v>0</v>
      </c>
      <c r="G49" s="29" t="n">
        <f aca="false">IF(E49="Amount Break",B49-C49,IF(E49="Missing in Statement",B49,IF(E49="Missing in Ledger",-C49,IF(E49="Duplicate in Statement",-C49*(D49-1),0))))</f>
        <v>0</v>
      </c>
      <c r="H49" s="27" t="str">
        <f aca="false">IFERROR(INDEX(Transactions!$H$2:$H$114,MATCH(A49,Transactions!$A$2:$A$114,0)),"")</f>
        <v>Cedar Hill Property Holdings Ltd</v>
      </c>
      <c r="I49" s="27"/>
    </row>
    <row r="50" customFormat="false" ht="15" hidden="false" customHeight="false" outlineLevel="0" collapsed="false">
      <c r="A50" s="27" t="s">
        <v>372</v>
      </c>
      <c r="B50" s="29" t="n">
        <f aca="false">IFERROR(INDEX(Transactions!$E$2:$E$114,MATCH(A50,Transactions!$A$2:$A$114,0)),"")</f>
        <v>45000</v>
      </c>
      <c r="C50" s="29" t="n">
        <f aca="false">IFERROR(INDEX(Src_BankStatement!$C$2:$C$114,MATCH(A50,Src_BankStatement!$A$2:$A$114,0)),"")</f>
        <v>45000</v>
      </c>
      <c r="D50" s="27" t="n">
        <f aca="false">COUNTIF(Src_BankStatement!$A$2:$A$114,A50)</f>
        <v>1</v>
      </c>
      <c r="E50" s="27" t="str">
        <f aca="false">IF(AND(B50="",C50=""),"",IF(B50="","Missing in Ledger",IF(C50="","Missing in Statement",IF(D50&gt;1,"Duplicate in Statement",IF(ABS(B50-C50)&gt;0.005,"Amount Break","Matched")))))</f>
        <v>Matched</v>
      </c>
      <c r="F50" s="29" t="n">
        <f aca="false">IF(AND(ISNUMBER(B50),ISNUMBER(C50)),ROUND(B50-C50,2),"")</f>
        <v>0</v>
      </c>
      <c r="G50" s="29" t="n">
        <f aca="false">IF(E50="Amount Break",B50-C50,IF(E50="Missing in Statement",B50,IF(E50="Missing in Ledger",-C50,IF(E50="Duplicate in Statement",-C50*(D50-1),0))))</f>
        <v>0</v>
      </c>
      <c r="H50" s="27" t="str">
        <f aca="false">IFERROR(INDEX(Transactions!$H$2:$H$114,MATCH(A50,Transactions!$A$2:$A$114,0)),"")</f>
        <v>Irrawaddy Trade Links Ltd</v>
      </c>
      <c r="I50" s="27"/>
    </row>
    <row r="51" customFormat="false" ht="15" hidden="false" customHeight="false" outlineLevel="0" collapsed="false">
      <c r="A51" s="27" t="s">
        <v>374</v>
      </c>
      <c r="B51" s="29" t="n">
        <f aca="false">IFERROR(INDEX(Transactions!$E$2:$E$114,MATCH(A51,Transactions!$A$2:$A$114,0)),"")</f>
        <v>60900</v>
      </c>
      <c r="C51" s="29" t="n">
        <f aca="false">IFERROR(INDEX(Src_BankStatement!$C$2:$C$114,MATCH(A51,Src_BankStatement!$A$2:$A$114,0)),"")</f>
        <v>60900</v>
      </c>
      <c r="D51" s="27" t="n">
        <f aca="false">COUNTIF(Src_BankStatement!$A$2:$A$114,A51)</f>
        <v>1</v>
      </c>
      <c r="E51" s="27" t="str">
        <f aca="false">IF(AND(B51="",C51=""),"",IF(B51="","Missing in Ledger",IF(C51="","Missing in Statement",IF(D51&gt;1,"Duplicate in Statement",IF(ABS(B51-C51)&gt;0.005,"Amount Break","Matched")))))</f>
        <v>Matched</v>
      </c>
      <c r="F51" s="29" t="n">
        <f aca="false">IF(AND(ISNUMBER(B51),ISNUMBER(C51)),ROUND(B51-C51,2),"")</f>
        <v>0</v>
      </c>
      <c r="G51" s="29" t="n">
        <f aca="false">IF(E51="Amount Break",B51-C51,IF(E51="Missing in Statement",B51,IF(E51="Missing in Ledger",-C51,IF(E51="Duplicate in Statement",-C51*(D51-1),0))))</f>
        <v>0</v>
      </c>
      <c r="H51" s="27" t="str">
        <f aca="false">IFERROR(INDEX(Transactions!$H$2:$H$114,MATCH(A51,Transactions!$A$2:$A$114,0)),"")</f>
        <v>Lakeview Medical Supplies Inc</v>
      </c>
      <c r="I51" s="27"/>
    </row>
    <row r="52" customFormat="false" ht="15" hidden="false" customHeight="false" outlineLevel="0" collapsed="false">
      <c r="A52" s="27" t="s">
        <v>375</v>
      </c>
      <c r="B52" s="29" t="n">
        <f aca="false">IFERROR(INDEX(Transactions!$E$2:$E$114,MATCH(A52,Transactions!$A$2:$A$114,0)),"")</f>
        <v>5200</v>
      </c>
      <c r="C52" s="29" t="n">
        <f aca="false">IFERROR(INDEX(Src_BankStatement!$C$2:$C$114,MATCH(A52,Src_BankStatement!$A$2:$A$114,0)),"")</f>
        <v>5200</v>
      </c>
      <c r="D52" s="27" t="n">
        <f aca="false">COUNTIF(Src_BankStatement!$A$2:$A$114,A52)</f>
        <v>1</v>
      </c>
      <c r="E52" s="27" t="str">
        <f aca="false">IF(AND(B52="",C52=""),"",IF(B52="","Missing in Ledger",IF(C52="","Missing in Statement",IF(D52&gt;1,"Duplicate in Statement",IF(ABS(B52-C52)&gt;0.005,"Amount Break","Matched")))))</f>
        <v>Matched</v>
      </c>
      <c r="F52" s="29" t="n">
        <f aca="false">IF(AND(ISNUMBER(B52),ISNUMBER(C52)),ROUND(B52-C52,2),"")</f>
        <v>0</v>
      </c>
      <c r="G52" s="29" t="n">
        <f aca="false">IF(E52="Amount Break",B52-C52,IF(E52="Missing in Statement",B52,IF(E52="Missing in Ledger",-C52,IF(E52="Duplicate in Statement",-C52*(D52-1),0))))</f>
        <v>0</v>
      </c>
      <c r="H52" s="27" t="str">
        <f aca="false">IFERROR(INDEX(Transactions!$H$2:$H$114,MATCH(A52,Transactions!$A$2:$A$114,0)),"")</f>
        <v>Brightline Retail Holdings Inc</v>
      </c>
      <c r="I52" s="27"/>
    </row>
    <row r="53" customFormat="false" ht="15" hidden="false" customHeight="false" outlineLevel="0" collapsed="false">
      <c r="A53" s="27" t="s">
        <v>376</v>
      </c>
      <c r="B53" s="29" t="n">
        <f aca="false">IFERROR(INDEX(Transactions!$E$2:$E$114,MATCH(A53,Transactions!$A$2:$A$114,0)),"")</f>
        <v>66800</v>
      </c>
      <c r="C53" s="29" t="n">
        <f aca="false">IFERROR(INDEX(Src_BankStatement!$C$2:$C$114,MATCH(A53,Src_BankStatement!$A$2:$A$114,0)),"")</f>
        <v>66800</v>
      </c>
      <c r="D53" s="27" t="n">
        <f aca="false">COUNTIF(Src_BankStatement!$A$2:$A$114,A53)</f>
        <v>1</v>
      </c>
      <c r="E53" s="27" t="str">
        <f aca="false">IF(AND(B53="",C53=""),"",IF(B53="","Missing in Ledger",IF(C53="","Missing in Statement",IF(D53&gt;1,"Duplicate in Statement",IF(ABS(B53-C53)&gt;0.005,"Amount Break","Matched")))))</f>
        <v>Matched</v>
      </c>
      <c r="F53" s="29" t="n">
        <f aca="false">IF(AND(ISNUMBER(B53),ISNUMBER(C53)),ROUND(B53-C53,2),"")</f>
        <v>0</v>
      </c>
      <c r="G53" s="29" t="n">
        <f aca="false">IF(E53="Amount Break",B53-C53,IF(E53="Missing in Statement",B53,IF(E53="Missing in Ledger",-C53,IF(E53="Duplicate in Statement",-C53*(D53-1),0))))</f>
        <v>0</v>
      </c>
      <c r="H53" s="27" t="str">
        <f aca="false">IFERROR(INDEX(Transactions!$H$2:$H$114,MATCH(A53,Transactions!$A$2:$A$114,0)),"")</f>
        <v>Zurich Wealth Advisory AG</v>
      </c>
      <c r="I53" s="27"/>
    </row>
    <row r="54" customFormat="false" ht="15" hidden="false" customHeight="false" outlineLevel="0" collapsed="false">
      <c r="A54" s="27" t="s">
        <v>377</v>
      </c>
      <c r="B54" s="29" t="n">
        <f aca="false">IFERROR(INDEX(Transactions!$E$2:$E$114,MATCH(A54,Transactions!$A$2:$A$114,0)),"")</f>
        <v>36900</v>
      </c>
      <c r="C54" s="29" t="n">
        <f aca="false">IFERROR(INDEX(Src_BankStatement!$C$2:$C$114,MATCH(A54,Src_BankStatement!$A$2:$A$114,0)),"")</f>
        <v>36900</v>
      </c>
      <c r="D54" s="27" t="n">
        <f aca="false">COUNTIF(Src_BankStatement!$A$2:$A$114,A54)</f>
        <v>1</v>
      </c>
      <c r="E54" s="27" t="str">
        <f aca="false">IF(AND(B54="",C54=""),"",IF(B54="","Missing in Ledger",IF(C54="","Missing in Statement",IF(D54&gt;1,"Duplicate in Statement",IF(ABS(B54-C54)&gt;0.005,"Amount Break","Matched")))))</f>
        <v>Matched</v>
      </c>
      <c r="F54" s="29" t="n">
        <f aca="false">IF(AND(ISNUMBER(B54),ISNUMBER(C54)),ROUND(B54-C54,2),"")</f>
        <v>0</v>
      </c>
      <c r="G54" s="29" t="n">
        <f aca="false">IF(E54="Amount Break",B54-C54,IF(E54="Missing in Statement",B54,IF(E54="Missing in Ledger",-C54,IF(E54="Duplicate in Statement",-C54*(D54-1),0))))</f>
        <v>0</v>
      </c>
      <c r="H54" s="27" t="str">
        <f aca="false">IFERROR(INDEX(Transactions!$H$2:$H$114,MATCH(A54,Transactions!$A$2:$A$114,0)),"")</f>
        <v>Granite Peak Mining Services Ltd</v>
      </c>
      <c r="I54" s="27"/>
    </row>
    <row r="55" customFormat="false" ht="15" hidden="false" customHeight="false" outlineLevel="0" collapsed="false">
      <c r="A55" s="27" t="s">
        <v>378</v>
      </c>
      <c r="B55" s="29" t="n">
        <f aca="false">IFERROR(INDEX(Transactions!$E$2:$E$114,MATCH(A55,Transactions!$A$2:$A$114,0)),"")</f>
        <v>5400</v>
      </c>
      <c r="C55" s="29" t="n">
        <f aca="false">IFERROR(INDEX(Src_BankStatement!$C$2:$C$114,MATCH(A55,Src_BankStatement!$A$2:$A$114,0)),"")</f>
        <v>5400</v>
      </c>
      <c r="D55" s="27" t="n">
        <f aca="false">COUNTIF(Src_BankStatement!$A$2:$A$114,A55)</f>
        <v>1</v>
      </c>
      <c r="E55" s="27" t="str">
        <f aca="false">IF(AND(B55="",C55=""),"",IF(B55="","Missing in Ledger",IF(C55="","Missing in Statement",IF(D55&gt;1,"Duplicate in Statement",IF(ABS(B55-C55)&gt;0.005,"Amount Break","Matched")))))</f>
        <v>Matched</v>
      </c>
      <c r="F55" s="29" t="n">
        <f aca="false">IF(AND(ISNUMBER(B55),ISNUMBER(C55)),ROUND(B55-C55,2),"")</f>
        <v>0</v>
      </c>
      <c r="G55" s="29" t="n">
        <f aca="false">IF(E55="Amount Break",B55-C55,IF(E55="Missing in Statement",B55,IF(E55="Missing in Ledger",-C55,IF(E55="Duplicate in Statement",-C55*(D55-1),0))))</f>
        <v>0</v>
      </c>
      <c r="H55" s="27" t="str">
        <f aca="false">IFERROR(INDEX(Transactions!$H$2:$H$114,MATCH(A55,Transactions!$A$2:$A$114,0)),"")</f>
        <v>Pinnacle Realty Developers Ltd</v>
      </c>
      <c r="I55" s="27"/>
    </row>
    <row r="56" customFormat="false" ht="15" hidden="false" customHeight="false" outlineLevel="0" collapsed="false">
      <c r="A56" s="27" t="s">
        <v>379</v>
      </c>
      <c r="B56" s="29" t="n">
        <f aca="false">IFERROR(INDEX(Transactions!$E$2:$E$114,MATCH(A56,Transactions!$A$2:$A$114,0)),"")</f>
        <v>150000</v>
      </c>
      <c r="C56" s="29" t="n">
        <f aca="false">IFERROR(INDEX(Src_BankStatement!$C$2:$C$114,MATCH(A56,Src_BankStatement!$A$2:$A$114,0)),"")</f>
        <v>150000</v>
      </c>
      <c r="D56" s="27" t="n">
        <f aca="false">COUNTIF(Src_BankStatement!$A$2:$A$114,A56)</f>
        <v>1</v>
      </c>
      <c r="E56" s="27" t="str">
        <f aca="false">IF(AND(B56="",C56=""),"",IF(B56="","Missing in Ledger",IF(C56="","Missing in Statement",IF(D56&gt;1,"Duplicate in Statement",IF(ABS(B56-C56)&gt;0.005,"Amount Break","Matched")))))</f>
        <v>Matched</v>
      </c>
      <c r="F56" s="29" t="n">
        <f aca="false">IF(AND(ISNUMBER(B56),ISNUMBER(C56)),ROUND(B56-C56,2),"")</f>
        <v>0</v>
      </c>
      <c r="G56" s="29" t="n">
        <f aca="false">IF(E56="Amount Break",B56-C56,IF(E56="Missing in Statement",B56,IF(E56="Missing in Ledger",-C56,IF(E56="Duplicate in Statement",-C56*(D56-1),0))))</f>
        <v>0</v>
      </c>
      <c r="H56" s="27" t="str">
        <f aca="false">IFERROR(INDEX(Transactions!$H$2:$H$114,MATCH(A56,Transactions!$A$2:$A$114,0)),"")</f>
        <v>Hollis Capital Partners LLP</v>
      </c>
      <c r="I56" s="27"/>
    </row>
    <row r="57" customFormat="false" ht="15" hidden="false" customHeight="false" outlineLevel="0" collapsed="false">
      <c r="A57" s="27" t="s">
        <v>381</v>
      </c>
      <c r="B57" s="29" t="n">
        <f aca="false">IFERROR(INDEX(Transactions!$E$2:$E$114,MATCH(A57,Transactions!$A$2:$A$114,0)),"")</f>
        <v>14300</v>
      </c>
      <c r="C57" s="29" t="n">
        <f aca="false">IFERROR(INDEX(Src_BankStatement!$C$2:$C$114,MATCH(A57,Src_BankStatement!$A$2:$A$114,0)),"")</f>
        <v>14300</v>
      </c>
      <c r="D57" s="27" t="n">
        <f aca="false">COUNTIF(Src_BankStatement!$A$2:$A$114,A57)</f>
        <v>1</v>
      </c>
      <c r="E57" s="27" t="str">
        <f aca="false">IF(AND(B57="",C57=""),"",IF(B57="","Missing in Ledger",IF(C57="","Missing in Statement",IF(D57&gt;1,"Duplicate in Statement",IF(ABS(B57-C57)&gt;0.005,"Amount Break","Matched")))))</f>
        <v>Matched</v>
      </c>
      <c r="F57" s="29" t="n">
        <f aca="false">IF(AND(ISNUMBER(B57),ISNUMBER(C57)),ROUND(B57-C57,2),"")</f>
        <v>0</v>
      </c>
      <c r="G57" s="29" t="n">
        <f aca="false">IF(E57="Amount Break",B57-C57,IF(E57="Missing in Statement",B57,IF(E57="Missing in Ledger",-C57,IF(E57="Duplicate in Statement",-C57*(D57-1),0))))</f>
        <v>0</v>
      </c>
      <c r="H57" s="27" t="str">
        <f aca="false">IFERROR(INDEX(Transactions!$H$2:$H$114,MATCH(A57,Transactions!$A$2:$A$114,0)),"")</f>
        <v>Rhine Valley Pharma GmbH</v>
      </c>
      <c r="I57" s="27"/>
    </row>
    <row r="58" customFormat="false" ht="15" hidden="false" customHeight="false" outlineLevel="0" collapsed="false">
      <c r="A58" s="27" t="s">
        <v>382</v>
      </c>
      <c r="B58" s="29" t="n">
        <f aca="false">IFERROR(INDEX(Transactions!$E$2:$E$114,MATCH(A58,Transactions!$A$2:$A$114,0)),"")</f>
        <v>59900</v>
      </c>
      <c r="C58" s="29" t="n">
        <f aca="false">IFERROR(INDEX(Src_BankStatement!$C$2:$C$114,MATCH(A58,Src_BankStatement!$A$2:$A$114,0)),"")</f>
        <v>59900</v>
      </c>
      <c r="D58" s="27" t="n">
        <f aca="false">COUNTIF(Src_BankStatement!$A$2:$A$114,A58)</f>
        <v>1</v>
      </c>
      <c r="E58" s="27" t="str">
        <f aca="false">IF(AND(B58="",C58=""),"",IF(B58="","Missing in Ledger",IF(C58="","Missing in Statement",IF(D58&gt;1,"Duplicate in Statement",IF(ABS(B58-C58)&gt;0.005,"Amount Break","Matched")))))</f>
        <v>Matched</v>
      </c>
      <c r="F58" s="29" t="n">
        <f aca="false">IF(AND(ISNUMBER(B58),ISNUMBER(C58)),ROUND(B58-C58,2),"")</f>
        <v>0</v>
      </c>
      <c r="G58" s="29" t="n">
        <f aca="false">IF(E58="Amount Break",B58-C58,IF(E58="Missing in Statement",B58,IF(E58="Missing in Ledger",-C58,IF(E58="Duplicate in Statement",-C58*(D58-1),0))))</f>
        <v>0</v>
      </c>
      <c r="H58" s="27" t="str">
        <f aca="false">IFERROR(INDEX(Transactions!$H$2:$H$114,MATCH(A58,Transactions!$A$2:$A$114,0)),"")</f>
        <v>Kestrel Engineering Services Pte Ltd</v>
      </c>
      <c r="I58" s="27"/>
    </row>
    <row r="59" customFormat="false" ht="15" hidden="false" customHeight="false" outlineLevel="0" collapsed="false">
      <c r="A59" s="27" t="s">
        <v>383</v>
      </c>
      <c r="B59" s="29" t="n">
        <f aca="false">IFERROR(INDEX(Transactions!$E$2:$E$114,MATCH(A59,Transactions!$A$2:$A$114,0)),"")</f>
        <v>72600</v>
      </c>
      <c r="C59" s="29" t="n">
        <f aca="false">IFERROR(INDEX(Src_BankStatement!$C$2:$C$114,MATCH(A59,Src_BankStatement!$A$2:$A$114,0)),"")</f>
        <v>72600</v>
      </c>
      <c r="D59" s="27" t="n">
        <f aca="false">COUNTIF(Src_BankStatement!$A$2:$A$114,A59)</f>
        <v>1</v>
      </c>
      <c r="E59" s="27" t="str">
        <f aca="false">IF(AND(B59="",C59=""),"",IF(B59="","Missing in Ledger",IF(C59="","Missing in Statement",IF(D59&gt;1,"Duplicate in Statement",IF(ABS(B59-C59)&gt;0.005,"Amount Break","Matched")))))</f>
        <v>Matched</v>
      </c>
      <c r="F59" s="29" t="n">
        <f aca="false">IF(AND(ISNUMBER(B59),ISNUMBER(C59)),ROUND(B59-C59,2),"")</f>
        <v>0</v>
      </c>
      <c r="G59" s="29" t="n">
        <f aca="false">IF(E59="Amount Break",B59-C59,IF(E59="Missing in Statement",B59,IF(E59="Missing in Ledger",-C59,IF(E59="Duplicate in Statement",-C59*(D59-1),0))))</f>
        <v>0</v>
      </c>
      <c r="H59" s="27" t="str">
        <f aca="false">IFERROR(INDEX(Transactions!$H$2:$H$114,MATCH(A59,Transactions!$A$2:$A$114,0)),"")</f>
        <v>Emerald Isle Software Ltd</v>
      </c>
      <c r="I59" s="27"/>
    </row>
    <row r="60" customFormat="false" ht="15" hidden="false" customHeight="false" outlineLevel="0" collapsed="false">
      <c r="A60" s="27" t="s">
        <v>384</v>
      </c>
      <c r="B60" s="29" t="n">
        <f aca="false">IFERROR(INDEX(Transactions!$E$2:$E$114,MATCH(A60,Transactions!$A$2:$A$114,0)),"")</f>
        <v>250000</v>
      </c>
      <c r="C60" s="29" t="n">
        <f aca="false">IFERROR(INDEX(Src_BankStatement!$C$2:$C$114,MATCH(A60,Src_BankStatement!$A$2:$A$114,0)),"")</f>
        <v>250000</v>
      </c>
      <c r="D60" s="27" t="n">
        <f aca="false">COUNTIF(Src_BankStatement!$A$2:$A$114,A60)</f>
        <v>1</v>
      </c>
      <c r="E60" s="27" t="str">
        <f aca="false">IF(AND(B60="",C60=""),"",IF(B60="","Missing in Ledger",IF(C60="","Missing in Statement",IF(D60&gt;1,"Duplicate in Statement",IF(ABS(B60-C60)&gt;0.005,"Amount Break","Matched")))))</f>
        <v>Matched</v>
      </c>
      <c r="F60" s="29" t="n">
        <f aca="false">IF(AND(ISNUMBER(B60),ISNUMBER(C60)),ROUND(B60-C60,2),"")</f>
        <v>0</v>
      </c>
      <c r="G60" s="29" t="n">
        <f aca="false">IF(E60="Amount Break",B60-C60,IF(E60="Missing in Statement",B60,IF(E60="Missing in Ledger",-C60,IF(E60="Duplicate in Statement",-C60*(D60-1),0))))</f>
        <v>0</v>
      </c>
      <c r="H60" s="27" t="str">
        <f aca="false">IFERROR(INDEX(Transactions!$H$2:$H$114,MATCH(A60,Transactions!$A$2:$A$114,0)),"")</f>
        <v>Vantage Commodities Trading FZE</v>
      </c>
      <c r="I60" s="27"/>
    </row>
    <row r="61" customFormat="false" ht="15" hidden="false" customHeight="false" outlineLevel="0" collapsed="false">
      <c r="A61" s="27" t="s">
        <v>385</v>
      </c>
      <c r="B61" s="29" t="n">
        <f aca="false">IFERROR(INDEX(Transactions!$E$2:$E$114,MATCH(A61,Transactions!$A$2:$A$114,0)),"")</f>
        <v>38100</v>
      </c>
      <c r="C61" s="29" t="n">
        <f aca="false">IFERROR(INDEX(Src_BankStatement!$C$2:$C$114,MATCH(A61,Src_BankStatement!$A$2:$A$114,0)),"")</f>
        <v>38100</v>
      </c>
      <c r="D61" s="27" t="n">
        <f aca="false">COUNTIF(Src_BankStatement!$A$2:$A$114,A61)</f>
        <v>1</v>
      </c>
      <c r="E61" s="27" t="str">
        <f aca="false">IF(AND(B61="",C61=""),"",IF(B61="","Missing in Ledger",IF(C61="","Missing in Statement",IF(D61&gt;1,"Duplicate in Statement",IF(ABS(B61-C61)&gt;0.005,"Amount Break","Matched")))))</f>
        <v>Matched</v>
      </c>
      <c r="F61" s="29" t="n">
        <f aca="false">IF(AND(ISNUMBER(B61),ISNUMBER(C61)),ROUND(B61-C61,2),"")</f>
        <v>0</v>
      </c>
      <c r="G61" s="29" t="n">
        <f aca="false">IF(E61="Amount Break",B61-C61,IF(E61="Missing in Statement",B61,IF(E61="Missing in Ledger",-C61,IF(E61="Duplicate in Statement",-C61*(D61-1),0))))</f>
        <v>0</v>
      </c>
      <c r="H61" s="27" t="str">
        <f aca="false">IFERROR(INDEX(Transactions!$H$2:$H$114,MATCH(A61,Transactions!$A$2:$A$114,0)),"")</f>
        <v>Palm Bay Casino Resorts</v>
      </c>
      <c r="I61" s="27"/>
    </row>
    <row r="62" customFormat="false" ht="15" hidden="false" customHeight="false" outlineLevel="0" collapsed="false">
      <c r="A62" s="27" t="s">
        <v>386</v>
      </c>
      <c r="B62" s="29" t="n">
        <f aca="false">IFERROR(INDEX(Transactions!$E$2:$E$114,MATCH(A62,Transactions!$A$2:$A$114,0)),"")</f>
        <v>52700</v>
      </c>
      <c r="C62" s="29" t="n">
        <f aca="false">IFERROR(INDEX(Src_BankStatement!$C$2:$C$114,MATCH(A62,Src_BankStatement!$A$2:$A$114,0)),"")</f>
        <v>52700</v>
      </c>
      <c r="D62" s="27" t="n">
        <f aca="false">COUNTIF(Src_BankStatement!$A$2:$A$114,A62)</f>
        <v>1</v>
      </c>
      <c r="E62" s="27" t="str">
        <f aca="false">IF(AND(B62="",C62=""),"",IF(B62="","Missing in Ledger",IF(C62="","Missing in Statement",IF(D62&gt;1,"Duplicate in Statement",IF(ABS(B62-C62)&gt;0.005,"Amount Break","Matched")))))</f>
        <v>Matched</v>
      </c>
      <c r="F62" s="29" t="n">
        <f aca="false">IF(AND(ISNUMBER(B62),ISNUMBER(C62)),ROUND(B62-C62,2),"")</f>
        <v>0</v>
      </c>
      <c r="G62" s="29" t="n">
        <f aca="false">IF(E62="Amount Break",B62-C62,IF(E62="Missing in Statement",B62,IF(E62="Missing in Ledger",-C62,IF(E62="Duplicate in Statement",-C62*(D62-1),0))))</f>
        <v>0</v>
      </c>
      <c r="H62" s="27" t="str">
        <f aca="false">IFERROR(INDEX(Transactions!$H$2:$H$114,MATCH(A62,Transactions!$A$2:$A$114,0)),"")</f>
        <v>Granite Peak Mining Services Ltd</v>
      </c>
      <c r="I62" s="27"/>
    </row>
    <row r="63" customFormat="false" ht="15" hidden="false" customHeight="false" outlineLevel="0" collapsed="false">
      <c r="A63" s="27" t="s">
        <v>387</v>
      </c>
      <c r="B63" s="29" t="n">
        <f aca="false">IFERROR(INDEX(Transactions!$E$2:$E$114,MATCH(A63,Transactions!$A$2:$A$114,0)),"")</f>
        <v>6200</v>
      </c>
      <c r="C63" s="29" t="n">
        <f aca="false">IFERROR(INDEX(Src_BankStatement!$C$2:$C$114,MATCH(A63,Src_BankStatement!$A$2:$A$114,0)),"")</f>
        <v>6200</v>
      </c>
      <c r="D63" s="27" t="n">
        <f aca="false">COUNTIF(Src_BankStatement!$A$2:$A$114,A63)</f>
        <v>1</v>
      </c>
      <c r="E63" s="27" t="str">
        <f aca="false">IF(AND(B63="",C63=""),"",IF(B63="","Missing in Ledger",IF(C63="","Missing in Statement",IF(D63&gt;1,"Duplicate in Statement",IF(ABS(B63-C63)&gt;0.005,"Amount Break","Matched")))))</f>
        <v>Matched</v>
      </c>
      <c r="F63" s="29" t="n">
        <f aca="false">IF(AND(ISNUMBER(B63),ISNUMBER(C63)),ROUND(B63-C63,2),"")</f>
        <v>0</v>
      </c>
      <c r="G63" s="29" t="n">
        <f aca="false">IF(E63="Amount Break",B63-C63,IF(E63="Missing in Statement",B63,IF(E63="Missing in Ledger",-C63,IF(E63="Duplicate in Statement",-C63*(D63-1),0))))</f>
        <v>0</v>
      </c>
      <c r="H63" s="27" t="str">
        <f aca="false">IFERROR(INDEX(Transactions!$H$2:$H$114,MATCH(A63,Transactions!$A$2:$A$114,0)),"")</f>
        <v>Spice Route Restaurants Group Inc</v>
      </c>
      <c r="I63" s="27"/>
    </row>
    <row r="64" customFormat="false" ht="15" hidden="false" customHeight="false" outlineLevel="0" collapsed="false">
      <c r="A64" s="27" t="s">
        <v>389</v>
      </c>
      <c r="B64" s="29" t="n">
        <f aca="false">IFERROR(INDEX(Transactions!$E$2:$E$114,MATCH(A64,Transactions!$A$2:$A$114,0)),"")</f>
        <v>5100</v>
      </c>
      <c r="C64" s="29" t="n">
        <f aca="false">IFERROR(INDEX(Src_BankStatement!$C$2:$C$114,MATCH(A64,Src_BankStatement!$A$2:$A$114,0)),"")</f>
        <v>5100</v>
      </c>
      <c r="D64" s="27" t="n">
        <f aca="false">COUNTIF(Src_BankStatement!$A$2:$A$114,A64)</f>
        <v>1</v>
      </c>
      <c r="E64" s="27" t="str">
        <f aca="false">IF(AND(B64="",C64=""),"",IF(B64="","Missing in Ledger",IF(C64="","Missing in Statement",IF(D64&gt;1,"Duplicate in Statement",IF(ABS(B64-C64)&gt;0.005,"Amount Break","Matched")))))</f>
        <v>Matched</v>
      </c>
      <c r="F64" s="29" t="n">
        <f aca="false">IF(AND(ISNUMBER(B64),ISNUMBER(C64)),ROUND(B64-C64,2),"")</f>
        <v>0</v>
      </c>
      <c r="G64" s="29" t="n">
        <f aca="false">IF(E64="Amount Break",B64-C64,IF(E64="Missing in Statement",B64,IF(E64="Missing in Ledger",-C64,IF(E64="Duplicate in Statement",-C64*(D64-1),0))))</f>
        <v>0</v>
      </c>
      <c r="H64" s="27" t="str">
        <f aca="false">IFERROR(INDEX(Transactions!$H$2:$H$114,MATCH(A64,Transactions!$A$2:$A$114,0)),"")</f>
        <v>Spice Route Restaurants Group Inc</v>
      </c>
      <c r="I64" s="27"/>
    </row>
    <row r="65" customFormat="false" ht="15" hidden="false" customHeight="false" outlineLevel="0" collapsed="false">
      <c r="A65" s="27" t="s">
        <v>391</v>
      </c>
      <c r="B65" s="29" t="n">
        <f aca="false">IFERROR(INDEX(Transactions!$E$2:$E$114,MATCH(A65,Transactions!$A$2:$A$114,0)),"")</f>
        <v>20900</v>
      </c>
      <c r="C65" s="29" t="n">
        <f aca="false">IFERROR(INDEX(Src_BankStatement!$C$2:$C$114,MATCH(A65,Src_BankStatement!$A$2:$A$114,0)),"")</f>
        <v>20900</v>
      </c>
      <c r="D65" s="27" t="n">
        <f aca="false">COUNTIF(Src_BankStatement!$A$2:$A$114,A65)</f>
        <v>1</v>
      </c>
      <c r="E65" s="27" t="str">
        <f aca="false">IF(AND(B65="",C65=""),"",IF(B65="","Missing in Ledger",IF(C65="","Missing in Statement",IF(D65&gt;1,"Duplicate in Statement",IF(ABS(B65-C65)&gt;0.005,"Amount Break","Matched")))))</f>
        <v>Matched</v>
      </c>
      <c r="F65" s="29" t="n">
        <f aca="false">IF(AND(ISNUMBER(B65),ISNUMBER(C65)),ROUND(B65-C65,2),"")</f>
        <v>0</v>
      </c>
      <c r="G65" s="29" t="n">
        <f aca="false">IF(E65="Amount Break",B65-C65,IF(E65="Missing in Statement",B65,IF(E65="Missing in Ledger",-C65,IF(E65="Duplicate in Statement",-C65*(D65-1),0))))</f>
        <v>0</v>
      </c>
      <c r="H65" s="27" t="str">
        <f aca="false">IFERROR(INDEX(Transactions!$H$2:$H$114,MATCH(A65,Transactions!$A$2:$A$114,0)),"")</f>
        <v>Bluewave Software Labs Inc</v>
      </c>
      <c r="I65" s="27"/>
    </row>
    <row r="66" customFormat="false" ht="15" hidden="false" customHeight="false" outlineLevel="0" collapsed="false">
      <c r="A66" s="27" t="s">
        <v>392</v>
      </c>
      <c r="B66" s="29" t="n">
        <f aca="false">IFERROR(INDEX(Transactions!$E$2:$E$114,MATCH(A66,Transactions!$A$2:$A$114,0)),"")</f>
        <v>246500</v>
      </c>
      <c r="C66" s="29" t="n">
        <f aca="false">IFERROR(INDEX(Src_BankStatement!$C$2:$C$114,MATCH(A66,Src_BankStatement!$A$2:$A$114,0)),"")</f>
        <v>246500</v>
      </c>
      <c r="D66" s="27" t="n">
        <f aca="false">COUNTIF(Src_BankStatement!$A$2:$A$114,A66)</f>
        <v>1</v>
      </c>
      <c r="E66" s="27" t="str">
        <f aca="false">IF(AND(B66="",C66=""),"",IF(B66="","Missing in Ledger",IF(C66="","Missing in Statement",IF(D66&gt;1,"Duplicate in Statement",IF(ABS(B66-C66)&gt;0.005,"Amount Break","Matched")))))</f>
        <v>Matched</v>
      </c>
      <c r="F66" s="29" t="n">
        <f aca="false">IF(AND(ISNUMBER(B66),ISNUMBER(C66)),ROUND(B66-C66,2),"")</f>
        <v>0</v>
      </c>
      <c r="G66" s="29" t="n">
        <f aca="false">IF(E66="Amount Break",B66-C66,IF(E66="Missing in Statement",B66,IF(E66="Missing in Ledger",-C66,IF(E66="Duplicate in Statement",-C66*(D66-1),0))))</f>
        <v>0</v>
      </c>
      <c r="H66" s="27" t="str">
        <f aca="false">IFERROR(INDEX(Transactions!$H$2:$H$114,MATCH(A66,Transactions!$A$2:$A$114,0)),"")</f>
        <v>Vantage Commodities Trading FZE</v>
      </c>
      <c r="I66" s="27"/>
    </row>
    <row r="67" customFormat="false" ht="15" hidden="false" customHeight="false" outlineLevel="0" collapsed="false">
      <c r="A67" s="27" t="s">
        <v>393</v>
      </c>
      <c r="B67" s="29" t="n">
        <f aca="false">IFERROR(INDEX(Transactions!$E$2:$E$114,MATCH(A67,Transactions!$A$2:$A$114,0)),"")</f>
        <v>25300</v>
      </c>
      <c r="C67" s="29" t="n">
        <f aca="false">IFERROR(INDEX(Src_BankStatement!$C$2:$C$114,MATCH(A67,Src_BankStatement!$A$2:$A$114,0)),"")</f>
        <v>25300</v>
      </c>
      <c r="D67" s="27" t="n">
        <f aca="false">COUNTIF(Src_BankStatement!$A$2:$A$114,A67)</f>
        <v>1</v>
      </c>
      <c r="E67" s="27" t="str">
        <f aca="false">IF(AND(B67="",C67=""),"",IF(B67="","Missing in Ledger",IF(C67="","Missing in Statement",IF(D67&gt;1,"Duplicate in Statement",IF(ABS(B67-C67)&gt;0.005,"Amount Break","Matched")))))</f>
        <v>Matched</v>
      </c>
      <c r="F67" s="29" t="n">
        <f aca="false">IF(AND(ISNUMBER(B67),ISNUMBER(C67)),ROUND(B67-C67,2),"")</f>
        <v>0</v>
      </c>
      <c r="G67" s="29" t="n">
        <f aca="false">IF(E67="Amount Break",B67-C67,IF(E67="Missing in Statement",B67,IF(E67="Missing in Ledger",-C67,IF(E67="Duplicate in Statement",-C67*(D67-1),0))))</f>
        <v>0</v>
      </c>
      <c r="H67" s="27" t="str">
        <f aca="false">IFERROR(INDEX(Transactions!$H$2:$H$114,MATCH(A67,Transactions!$A$2:$A$114,0)),"")</f>
        <v>Meridian Textile Exports Pvt Ltd</v>
      </c>
      <c r="I67" s="27"/>
    </row>
    <row r="68" customFormat="false" ht="15" hidden="false" customHeight="false" outlineLevel="0" collapsed="false">
      <c r="A68" s="27" t="s">
        <v>394</v>
      </c>
      <c r="B68" s="29" t="n">
        <f aca="false">IFERROR(INDEX(Transactions!$E$2:$E$114,MATCH(A68,Transactions!$A$2:$A$114,0)),"")</f>
        <v>76800</v>
      </c>
      <c r="C68" s="29" t="n">
        <f aca="false">IFERROR(INDEX(Src_BankStatement!$C$2:$C$114,MATCH(A68,Src_BankStatement!$A$2:$A$114,0)),"")</f>
        <v>76800</v>
      </c>
      <c r="D68" s="27" t="n">
        <f aca="false">COUNTIF(Src_BankStatement!$A$2:$A$114,A68)</f>
        <v>1</v>
      </c>
      <c r="E68" s="27" t="str">
        <f aca="false">IF(AND(B68="",C68=""),"",IF(B68="","Missing in Ledger",IF(C68="","Missing in Statement",IF(D68&gt;1,"Duplicate in Statement",IF(ABS(B68-C68)&gt;0.005,"Amount Break","Matched")))))</f>
        <v>Matched</v>
      </c>
      <c r="F68" s="29" t="n">
        <f aca="false">IF(AND(ISNUMBER(B68),ISNUMBER(C68)),ROUND(B68-C68,2),"")</f>
        <v>0</v>
      </c>
      <c r="G68" s="29" t="n">
        <f aca="false">IF(E68="Amount Break",B68-C68,IF(E68="Missing in Statement",B68,IF(E68="Missing in Ledger",-C68,IF(E68="Duplicate in Statement",-C68*(D68-1),0))))</f>
        <v>0</v>
      </c>
      <c r="H68" s="27" t="str">
        <f aca="false">IFERROR(INDEX(Transactions!$H$2:$H$114,MATCH(A68,Transactions!$A$2:$A$114,0)),"")</f>
        <v>Aurora Software Solutions Pvt Ltd</v>
      </c>
      <c r="I68" s="27"/>
    </row>
    <row r="69" customFormat="false" ht="15" hidden="false" customHeight="false" outlineLevel="0" collapsed="false">
      <c r="A69" s="27" t="s">
        <v>395</v>
      </c>
      <c r="B69" s="29" t="n">
        <f aca="false">IFERROR(INDEX(Transactions!$E$2:$E$114,MATCH(A69,Transactions!$A$2:$A$114,0)),"")</f>
        <v>21600</v>
      </c>
      <c r="C69" s="29" t="n">
        <f aca="false">IFERROR(INDEX(Src_BankStatement!$C$2:$C$114,MATCH(A69,Src_BankStatement!$A$2:$A$114,0)),"")</f>
        <v>21600</v>
      </c>
      <c r="D69" s="27" t="n">
        <f aca="false">COUNTIF(Src_BankStatement!$A$2:$A$114,A69)</f>
        <v>1</v>
      </c>
      <c r="E69" s="27" t="str">
        <f aca="false">IF(AND(B69="",C69=""),"",IF(B69="","Missing in Ledger",IF(C69="","Missing in Statement",IF(D69&gt;1,"Duplicate in Statement",IF(ABS(B69-C69)&gt;0.005,"Amount Break","Matched")))))</f>
        <v>Matched</v>
      </c>
      <c r="F69" s="29" t="n">
        <f aca="false">IF(AND(ISNUMBER(B69),ISNUMBER(C69)),ROUND(B69-C69,2),"")</f>
        <v>0</v>
      </c>
      <c r="G69" s="29" t="n">
        <f aca="false">IF(E69="Amount Break",B69-C69,IF(E69="Missing in Statement",B69,IF(E69="Missing in Ledger",-C69,IF(E69="Duplicate in Statement",-C69*(D69-1),0))))</f>
        <v>0</v>
      </c>
      <c r="H69" s="27" t="str">
        <f aca="false">IFERROR(INDEX(Transactions!$H$2:$H$114,MATCH(A69,Transactions!$A$2:$A$114,0)),"")</f>
        <v>Maple Leaf Health Clinics Inc</v>
      </c>
      <c r="I69" s="27"/>
    </row>
    <row r="70" customFormat="false" ht="15" hidden="false" customHeight="false" outlineLevel="0" collapsed="false">
      <c r="A70" s="27" t="s">
        <v>396</v>
      </c>
      <c r="B70" s="29" t="n">
        <f aca="false">IFERROR(INDEX(Transactions!$E$2:$E$114,MATCH(A70,Transactions!$A$2:$A$114,0)),"")</f>
        <v>60000</v>
      </c>
      <c r="C70" s="29" t="n">
        <f aca="false">IFERROR(INDEX(Src_BankStatement!$C$2:$C$114,MATCH(A70,Src_BankStatement!$A$2:$A$114,0)),"")</f>
        <v>60000</v>
      </c>
      <c r="D70" s="27" t="n">
        <f aca="false">COUNTIF(Src_BankStatement!$A$2:$A$114,A70)</f>
        <v>1</v>
      </c>
      <c r="E70" s="27" t="str">
        <f aca="false">IF(AND(B70="",C70=""),"",IF(B70="","Missing in Ledger",IF(C70="","Missing in Statement",IF(D70&gt;1,"Duplicate in Statement",IF(ABS(B70-C70)&gt;0.005,"Amount Break","Matched")))))</f>
        <v>Matched</v>
      </c>
      <c r="F70" s="29" t="n">
        <f aca="false">IF(AND(ISNUMBER(B70),ISNUMBER(C70)),ROUND(B70-C70,2),"")</f>
        <v>0</v>
      </c>
      <c r="G70" s="29" t="n">
        <f aca="false">IF(E70="Amount Break",B70-C70,IF(E70="Missing in Statement",B70,IF(E70="Missing in Ledger",-C70,IF(E70="Duplicate in Statement",-C70*(D70-1),0))))</f>
        <v>0</v>
      </c>
      <c r="H70" s="27" t="str">
        <f aca="false">IFERROR(INDEX(Transactions!$H$2:$H$114,MATCH(A70,Transactions!$A$2:$A$114,0)),"")</f>
        <v>Irrawaddy Trade Links Ltd</v>
      </c>
      <c r="I70" s="27"/>
    </row>
    <row r="71" customFormat="false" ht="15" hidden="false" customHeight="false" outlineLevel="0" collapsed="false">
      <c r="A71" s="27" t="s">
        <v>397</v>
      </c>
      <c r="B71" s="29" t="n">
        <f aca="false">IFERROR(INDEX(Transactions!$E$2:$E$114,MATCH(A71,Transactions!$A$2:$A$114,0)),"")</f>
        <v>9900</v>
      </c>
      <c r="C71" s="29" t="n">
        <f aca="false">IFERROR(INDEX(Src_BankStatement!$C$2:$C$114,MATCH(A71,Src_BankStatement!$A$2:$A$114,0)),"")</f>
        <v>9900</v>
      </c>
      <c r="D71" s="27" t="n">
        <f aca="false">COUNTIF(Src_BankStatement!$A$2:$A$114,A71)</f>
        <v>1</v>
      </c>
      <c r="E71" s="27" t="str">
        <f aca="false">IF(AND(B71="",C71=""),"",IF(B71="","Missing in Ledger",IF(C71="","Missing in Statement",IF(D71&gt;1,"Duplicate in Statement",IF(ABS(B71-C71)&gt;0.005,"Amount Break","Matched")))))</f>
        <v>Matched</v>
      </c>
      <c r="F71" s="29" t="n">
        <f aca="false">IF(AND(ISNUMBER(B71),ISNUMBER(C71)),ROUND(B71-C71,2),"")</f>
        <v>0</v>
      </c>
      <c r="G71" s="29" t="n">
        <f aca="false">IF(E71="Amount Break",B71-C71,IF(E71="Missing in Statement",B71,IF(E71="Missing in Ledger",-C71,IF(E71="Duplicate in Statement",-C71*(D71-1),0))))</f>
        <v>0</v>
      </c>
      <c r="H71" s="27" t="str">
        <f aca="false">IFERROR(INDEX(Transactions!$H$2:$H$114,MATCH(A71,Transactions!$A$2:$A$114,0)),"")</f>
        <v>Cedar Hill Property Holdings Ltd</v>
      </c>
      <c r="I71" s="27"/>
    </row>
    <row r="72" customFormat="false" ht="15" hidden="false" customHeight="false" outlineLevel="0" collapsed="false">
      <c r="A72" s="27" t="s">
        <v>398</v>
      </c>
      <c r="B72" s="29" t="n">
        <f aca="false">IFERROR(INDEX(Transactions!$E$2:$E$114,MATCH(A72,Transactions!$A$2:$A$114,0)),"")</f>
        <v>6100</v>
      </c>
      <c r="C72" s="29" t="n">
        <f aca="false">IFERROR(INDEX(Src_BankStatement!$C$2:$C$114,MATCH(A72,Src_BankStatement!$A$2:$A$114,0)),"")</f>
        <v>6100</v>
      </c>
      <c r="D72" s="27" t="n">
        <f aca="false">COUNTIF(Src_BankStatement!$A$2:$A$114,A72)</f>
        <v>1</v>
      </c>
      <c r="E72" s="27" t="str">
        <f aca="false">IF(AND(B72="",C72=""),"",IF(B72="","Missing in Ledger",IF(C72="","Missing in Statement",IF(D72&gt;1,"Duplicate in Statement",IF(ABS(B72-C72)&gt;0.005,"Amount Break","Matched")))))</f>
        <v>Matched</v>
      </c>
      <c r="F72" s="29" t="n">
        <f aca="false">IF(AND(ISNUMBER(B72),ISNUMBER(C72)),ROUND(B72-C72,2),"")</f>
        <v>0</v>
      </c>
      <c r="G72" s="29" t="n">
        <f aca="false">IF(E72="Amount Break",B72-C72,IF(E72="Missing in Statement",B72,IF(E72="Missing in Ledger",-C72,IF(E72="Duplicate in Statement",-C72*(D72-1),0))))</f>
        <v>0</v>
      </c>
      <c r="H72" s="27" t="str">
        <f aca="false">IFERROR(INDEX(Transactions!$H$2:$H$114,MATCH(A72,Transactions!$A$2:$A$114,0)),"")</f>
        <v>Sunrise Auto Traders LLC</v>
      </c>
      <c r="I72" s="27"/>
    </row>
    <row r="73" customFormat="false" ht="15" hidden="false" customHeight="false" outlineLevel="0" collapsed="false">
      <c r="A73" s="27" t="s">
        <v>399</v>
      </c>
      <c r="B73" s="29" t="n">
        <f aca="false">IFERROR(INDEX(Transactions!$E$2:$E$114,MATCH(A73,Transactions!$A$2:$A$114,0)),"")</f>
        <v>86500</v>
      </c>
      <c r="C73" s="29" t="n">
        <f aca="false">IFERROR(INDEX(Src_BankStatement!$C$2:$C$114,MATCH(A73,Src_BankStatement!$A$2:$A$114,0)),"")</f>
        <v>86500</v>
      </c>
      <c r="D73" s="27" t="n">
        <f aca="false">COUNTIF(Src_BankStatement!$A$2:$A$114,A73)</f>
        <v>1</v>
      </c>
      <c r="E73" s="27" t="str">
        <f aca="false">IF(AND(B73="",C73=""),"",IF(B73="","Missing in Ledger",IF(C73="","Missing in Statement",IF(D73&gt;1,"Duplicate in Statement",IF(ABS(B73-C73)&gt;0.005,"Amount Break","Matched")))))</f>
        <v>Matched</v>
      </c>
      <c r="F73" s="29" t="n">
        <f aca="false">IF(AND(ISNUMBER(B73),ISNUMBER(C73)),ROUND(B73-C73,2),"")</f>
        <v>0</v>
      </c>
      <c r="G73" s="29" t="n">
        <f aca="false">IF(E73="Amount Break",B73-C73,IF(E73="Missing in Statement",B73,IF(E73="Missing in Ledger",-C73,IF(E73="Duplicate in Statement",-C73*(D73-1),0))))</f>
        <v>0</v>
      </c>
      <c r="H73" s="27" t="str">
        <f aca="false">IFERROR(INDEX(Transactions!$H$2:$H$114,MATCH(A73,Transactions!$A$2:$A$114,0)),"")</f>
        <v>Anatolia Steel Works AS</v>
      </c>
      <c r="I73" s="27"/>
    </row>
    <row r="74" customFormat="false" ht="15" hidden="false" customHeight="false" outlineLevel="0" collapsed="false">
      <c r="A74" s="27" t="s">
        <v>400</v>
      </c>
      <c r="B74" s="29" t="n">
        <f aca="false">IFERROR(INDEX(Transactions!$E$2:$E$114,MATCH(A74,Transactions!$A$2:$A$114,0)),"")</f>
        <v>35000</v>
      </c>
      <c r="C74" s="29" t="n">
        <f aca="false">IFERROR(INDEX(Src_BankStatement!$C$2:$C$114,MATCH(A74,Src_BankStatement!$A$2:$A$114,0)),"")</f>
        <v>35000</v>
      </c>
      <c r="D74" s="27" t="n">
        <f aca="false">COUNTIF(Src_BankStatement!$A$2:$A$114,A74)</f>
        <v>1</v>
      </c>
      <c r="E74" s="27" t="str">
        <f aca="false">IF(AND(B74="",C74=""),"",IF(B74="","Missing in Ledger",IF(C74="","Missing in Statement",IF(D74&gt;1,"Duplicate in Statement",IF(ABS(B74-C74)&gt;0.005,"Amount Break","Matched")))))</f>
        <v>Matched</v>
      </c>
      <c r="F74" s="29" t="n">
        <f aca="false">IF(AND(ISNUMBER(B74),ISNUMBER(C74)),ROUND(B74-C74,2),"")</f>
        <v>0</v>
      </c>
      <c r="G74" s="29" t="n">
        <f aca="false">IF(E74="Amount Break",B74-C74,IF(E74="Missing in Statement",B74,IF(E74="Missing in Ledger",-C74,IF(E74="Duplicate in Statement",-C74*(D74-1),0))))</f>
        <v>0</v>
      </c>
      <c r="H74" s="27" t="str">
        <f aca="false">IFERROR(INDEX(Transactions!$H$2:$H$114,MATCH(A74,Transactions!$A$2:$A$114,0)),"")</f>
        <v>Baltic Star Shipping Ltd</v>
      </c>
      <c r="I74" s="27"/>
    </row>
    <row r="75" customFormat="false" ht="15" hidden="false" customHeight="false" outlineLevel="0" collapsed="false">
      <c r="A75" s="27" t="s">
        <v>402</v>
      </c>
      <c r="B75" s="29" t="n">
        <f aca="false">IFERROR(INDEX(Transactions!$E$2:$E$114,MATCH(A75,Transactions!$A$2:$A$114,0)),"")</f>
        <v>30000</v>
      </c>
      <c r="C75" s="29" t="n">
        <f aca="false">IFERROR(INDEX(Src_BankStatement!$C$2:$C$114,MATCH(A75,Src_BankStatement!$A$2:$A$114,0)),"")</f>
        <v>30000</v>
      </c>
      <c r="D75" s="27" t="n">
        <f aca="false">COUNTIF(Src_BankStatement!$A$2:$A$114,A75)</f>
        <v>1</v>
      </c>
      <c r="E75" s="27" t="str">
        <f aca="false">IF(AND(B75="",C75=""),"",IF(B75="","Missing in Ledger",IF(C75="","Missing in Statement",IF(D75&gt;1,"Duplicate in Statement",IF(ABS(B75-C75)&gt;0.005,"Amount Break","Matched")))))</f>
        <v>Matched</v>
      </c>
      <c r="F75" s="29" t="n">
        <f aca="false">IF(AND(ISNUMBER(B75),ISNUMBER(C75)),ROUND(B75-C75,2),"")</f>
        <v>0</v>
      </c>
      <c r="G75" s="29" t="n">
        <f aca="false">IF(E75="Amount Break",B75-C75,IF(E75="Missing in Statement",B75,IF(E75="Missing in Ledger",-C75,IF(E75="Duplicate in Statement",-C75*(D75-1),0))))</f>
        <v>0</v>
      </c>
      <c r="H75" s="27" t="str">
        <f aca="false">IFERROR(INDEX(Transactions!$H$2:$H$114,MATCH(A75,Transactions!$A$2:$A$114,0)),"")</f>
        <v>Lotus Healthcare Systems Ltd</v>
      </c>
      <c r="I75" s="27"/>
    </row>
    <row r="76" customFormat="false" ht="15" hidden="false" customHeight="false" outlineLevel="0" collapsed="false">
      <c r="A76" s="27" t="s">
        <v>403</v>
      </c>
      <c r="B76" s="29" t="n">
        <f aca="false">IFERROR(INDEX(Transactions!$E$2:$E$114,MATCH(A76,Transactions!$A$2:$A$114,0)),"")</f>
        <v>75700</v>
      </c>
      <c r="C76" s="29" t="n">
        <f aca="false">IFERROR(INDEX(Src_BankStatement!$C$2:$C$114,MATCH(A76,Src_BankStatement!$A$2:$A$114,0)),"")</f>
        <v>75700</v>
      </c>
      <c r="D76" s="27" t="n">
        <f aca="false">COUNTIF(Src_BankStatement!$A$2:$A$114,A76)</f>
        <v>1</v>
      </c>
      <c r="E76" s="27" t="str">
        <f aca="false">IF(AND(B76="",C76=""),"",IF(B76="","Missing in Ledger",IF(C76="","Missing in Statement",IF(D76&gt;1,"Duplicate in Statement",IF(ABS(B76-C76)&gt;0.005,"Amount Break","Matched")))))</f>
        <v>Matched</v>
      </c>
      <c r="F76" s="29" t="n">
        <f aca="false">IF(AND(ISNUMBER(B76),ISNUMBER(C76)),ROUND(B76-C76,2),"")</f>
        <v>0</v>
      </c>
      <c r="G76" s="29" t="n">
        <f aca="false">IF(E76="Amount Break",B76-C76,IF(E76="Missing in Statement",B76,IF(E76="Missing in Ledger",-C76,IF(E76="Duplicate in Statement",-C76*(D76-1),0))))</f>
        <v>0</v>
      </c>
      <c r="H76" s="27" t="str">
        <f aca="false">IFERROR(INDEX(Transactions!$H$2:$H$114,MATCH(A76,Transactions!$A$2:$A$114,0)),"")</f>
        <v>Thames Consulting Partners LLP</v>
      </c>
      <c r="I76" s="27"/>
    </row>
    <row r="77" customFormat="false" ht="15" hidden="false" customHeight="false" outlineLevel="0" collapsed="false">
      <c r="A77" s="27" t="s">
        <v>404</v>
      </c>
      <c r="B77" s="29" t="n">
        <f aca="false">IFERROR(INDEX(Transactions!$E$2:$E$114,MATCH(A77,Transactions!$A$2:$A$114,0)),"")</f>
        <v>27000</v>
      </c>
      <c r="C77" s="29" t="n">
        <f aca="false">IFERROR(INDEX(Src_BankStatement!$C$2:$C$114,MATCH(A77,Src_BankStatement!$A$2:$A$114,0)),"")</f>
        <v>27000</v>
      </c>
      <c r="D77" s="27" t="n">
        <f aca="false">COUNTIF(Src_BankStatement!$A$2:$A$114,A77)</f>
        <v>1</v>
      </c>
      <c r="E77" s="27" t="str">
        <f aca="false">IF(AND(B77="",C77=""),"",IF(B77="","Missing in Ledger",IF(C77="","Missing in Statement",IF(D77&gt;1,"Duplicate in Statement",IF(ABS(B77-C77)&gt;0.005,"Amount Break","Matched")))))</f>
        <v>Matched</v>
      </c>
      <c r="F77" s="29" t="n">
        <f aca="false">IF(AND(ISNUMBER(B77),ISNUMBER(C77)),ROUND(B77-C77,2),"")</f>
        <v>0</v>
      </c>
      <c r="G77" s="29" t="n">
        <f aca="false">IF(E77="Amount Break",B77-C77,IF(E77="Missing in Statement",B77,IF(E77="Missing in Ledger",-C77,IF(E77="Duplicate in Statement",-C77*(D77-1),0))))</f>
        <v>0</v>
      </c>
      <c r="H77" s="27" t="str">
        <f aca="false">IFERROR(INDEX(Transactions!$H$2:$H$114,MATCH(A77,Transactions!$A$2:$A$114,0)),"")</f>
        <v>Golden Crest Jewellers LLC</v>
      </c>
      <c r="I77" s="27"/>
    </row>
    <row r="78" customFormat="false" ht="15" hidden="false" customHeight="false" outlineLevel="0" collapsed="false">
      <c r="A78" s="27" t="s">
        <v>405</v>
      </c>
      <c r="B78" s="29" t="n">
        <f aca="false">IFERROR(INDEX(Transactions!$E$2:$E$114,MATCH(A78,Transactions!$A$2:$A$114,0)),"")</f>
        <v>90000</v>
      </c>
      <c r="C78" s="29" t="n">
        <f aca="false">IFERROR(INDEX(Src_BankStatement!$C$2:$C$114,MATCH(A78,Src_BankStatement!$A$2:$A$114,0)),"")</f>
        <v>90000</v>
      </c>
      <c r="D78" s="27" t="n">
        <f aca="false">COUNTIF(Src_BankStatement!$A$2:$A$114,A78)</f>
        <v>1</v>
      </c>
      <c r="E78" s="27" t="str">
        <f aca="false">IF(AND(B78="",C78=""),"",IF(B78="","Missing in Ledger",IF(C78="","Missing in Statement",IF(D78&gt;1,"Duplicate in Statement",IF(ABS(B78-C78)&gt;0.005,"Amount Break","Matched")))))</f>
        <v>Matched</v>
      </c>
      <c r="F78" s="29" t="n">
        <f aca="false">IF(AND(ISNUMBER(B78),ISNUMBER(C78)),ROUND(B78-C78,2),"")</f>
        <v>0</v>
      </c>
      <c r="G78" s="29" t="n">
        <f aca="false">IF(E78="Amount Break",B78-C78,IF(E78="Missing in Statement",B78,IF(E78="Missing in Ledger",-C78,IF(E78="Duplicate in Statement",-C78*(D78-1),0))))</f>
        <v>0</v>
      </c>
      <c r="H78" s="27" t="str">
        <f aca="false">IFERROR(INDEX(Transactions!$H$2:$H$114,MATCH(A78,Transactions!$A$2:$A$114,0)),"")</f>
        <v>Hollis Capital Partners LLP</v>
      </c>
      <c r="I78" s="27"/>
    </row>
    <row r="79" customFormat="false" ht="15" hidden="false" customHeight="false" outlineLevel="0" collapsed="false">
      <c r="A79" s="27" t="s">
        <v>407</v>
      </c>
      <c r="B79" s="29" t="n">
        <f aca="false">IFERROR(INDEX(Transactions!$E$2:$E$114,MATCH(A79,Transactions!$A$2:$A$114,0)),"")</f>
        <v>87200</v>
      </c>
      <c r="C79" s="29" t="n">
        <f aca="false">IFERROR(INDEX(Src_BankStatement!$C$2:$C$114,MATCH(A79,Src_BankStatement!$A$2:$A$114,0)),"")</f>
        <v>87200</v>
      </c>
      <c r="D79" s="27" t="n">
        <f aca="false">COUNTIF(Src_BankStatement!$A$2:$A$114,A79)</f>
        <v>1</v>
      </c>
      <c r="E79" s="27" t="str">
        <f aca="false">IF(AND(B79="",C79=""),"",IF(B79="","Missing in Ledger",IF(C79="","Missing in Statement",IF(D79&gt;1,"Duplicate in Statement",IF(ABS(B79-C79)&gt;0.005,"Amount Break","Matched")))))</f>
        <v>Matched</v>
      </c>
      <c r="F79" s="29" t="n">
        <f aca="false">IF(AND(ISNUMBER(B79),ISNUMBER(C79)),ROUND(B79-C79,2),"")</f>
        <v>0</v>
      </c>
      <c r="G79" s="29" t="n">
        <f aca="false">IF(E79="Amount Break",B79-C79,IF(E79="Missing in Statement",B79,IF(E79="Missing in Ledger",-C79,IF(E79="Duplicate in Statement",-C79*(D79-1),0))))</f>
        <v>0</v>
      </c>
      <c r="H79" s="27" t="str">
        <f aca="false">IFERROR(INDEX(Transactions!$H$2:$H$114,MATCH(A79,Transactions!$A$2:$A$114,0)),"")</f>
        <v>Meridian Textile Exports Pvt Ltd</v>
      </c>
      <c r="I79" s="27"/>
    </row>
    <row r="80" customFormat="false" ht="15" hidden="false" customHeight="false" outlineLevel="0" collapsed="false">
      <c r="A80" s="27" t="s">
        <v>408</v>
      </c>
      <c r="B80" s="29" t="n">
        <f aca="false">IFERROR(INDEX(Transactions!$E$2:$E$114,MATCH(A80,Transactions!$A$2:$A$114,0)),"")</f>
        <v>12800</v>
      </c>
      <c r="C80" s="29" t="n">
        <f aca="false">IFERROR(INDEX(Src_BankStatement!$C$2:$C$114,MATCH(A80,Src_BankStatement!$A$2:$A$114,0)),"")</f>
        <v>12800</v>
      </c>
      <c r="D80" s="27" t="n">
        <f aca="false">COUNTIF(Src_BankStatement!$A$2:$A$114,A80)</f>
        <v>1</v>
      </c>
      <c r="E80" s="27" t="str">
        <f aca="false">IF(AND(B80="",C80=""),"",IF(B80="","Missing in Ledger",IF(C80="","Missing in Statement",IF(D80&gt;1,"Duplicate in Statement",IF(ABS(B80-C80)&gt;0.005,"Amount Break","Matched")))))</f>
        <v>Matched</v>
      </c>
      <c r="F80" s="29" t="n">
        <f aca="false">IF(AND(ISNUMBER(B80),ISNUMBER(C80)),ROUND(B80-C80,2),"")</f>
        <v>0</v>
      </c>
      <c r="G80" s="29" t="n">
        <f aca="false">IF(E80="Amount Break",B80-C80,IF(E80="Missing in Statement",B80,IF(E80="Missing in Ledger",-C80,IF(E80="Duplicate in Statement",-C80*(D80-1),0))))</f>
        <v>0</v>
      </c>
      <c r="H80" s="27" t="str">
        <f aca="false">IFERROR(INDEX(Transactions!$H$2:$H$114,MATCH(A80,Transactions!$A$2:$A$114,0)),"")</f>
        <v>Alpine Logistics AG</v>
      </c>
      <c r="I80" s="27"/>
    </row>
    <row r="81" customFormat="false" ht="15" hidden="false" customHeight="false" outlineLevel="0" collapsed="false">
      <c r="A81" s="27" t="s">
        <v>409</v>
      </c>
      <c r="B81" s="29" t="n">
        <f aca="false">IFERROR(INDEX(Transactions!$E$2:$E$114,MATCH(A81,Transactions!$A$2:$A$114,0)),"")</f>
        <v>49800</v>
      </c>
      <c r="C81" s="29" t="n">
        <f aca="false">IFERROR(INDEX(Src_BankStatement!$C$2:$C$114,MATCH(A81,Src_BankStatement!$A$2:$A$114,0)),"")</f>
        <v>49800</v>
      </c>
      <c r="D81" s="27" t="n">
        <f aca="false">COUNTIF(Src_BankStatement!$A$2:$A$114,A81)</f>
        <v>1</v>
      </c>
      <c r="E81" s="27" t="str">
        <f aca="false">IF(AND(B81="",C81=""),"",IF(B81="","Missing in Ledger",IF(C81="","Missing in Statement",IF(D81&gt;1,"Duplicate in Statement",IF(ABS(B81-C81)&gt;0.005,"Amount Break","Matched")))))</f>
        <v>Matched</v>
      </c>
      <c r="F81" s="29" t="n">
        <f aca="false">IF(AND(ISNUMBER(B81),ISNUMBER(C81)),ROUND(B81-C81,2),"")</f>
        <v>0</v>
      </c>
      <c r="G81" s="29" t="n">
        <f aca="false">IF(E81="Amount Break",B81-C81,IF(E81="Missing in Statement",B81,IF(E81="Missing in Ledger",-C81,IF(E81="Duplicate in Statement",-C81*(D81-1),0))))</f>
        <v>0</v>
      </c>
      <c r="H81" s="27" t="str">
        <f aca="false">IFERROR(INDEX(Transactions!$H$2:$H$114,MATCH(A81,Transactions!$A$2:$A$114,0)),"")</f>
        <v>Evergreen Charitable Foundation</v>
      </c>
      <c r="I81" s="27"/>
    </row>
    <row r="82" customFormat="false" ht="15" hidden="false" customHeight="false" outlineLevel="0" collapsed="false">
      <c r="A82" s="27" t="s">
        <v>410</v>
      </c>
      <c r="B82" s="29" t="n">
        <f aca="false">IFERROR(INDEX(Transactions!$E$2:$E$114,MATCH(A82,Transactions!$A$2:$A$114,0)),"")</f>
        <v>7800</v>
      </c>
      <c r="C82" s="29" t="n">
        <f aca="false">IFERROR(INDEX(Src_BankStatement!$C$2:$C$114,MATCH(A82,Src_BankStatement!$A$2:$A$114,0)),"")</f>
        <v>7800</v>
      </c>
      <c r="D82" s="27" t="n">
        <f aca="false">COUNTIF(Src_BankStatement!$A$2:$A$114,A82)</f>
        <v>1</v>
      </c>
      <c r="E82" s="27" t="str">
        <f aca="false">IF(AND(B82="",C82=""),"",IF(B82="","Missing in Ledger",IF(C82="","Missing in Statement",IF(D82&gt;1,"Duplicate in Statement",IF(ABS(B82-C82)&gt;0.005,"Amount Break","Matched")))))</f>
        <v>Matched</v>
      </c>
      <c r="F82" s="29" t="n">
        <f aca="false">IF(AND(ISNUMBER(B82),ISNUMBER(C82)),ROUND(B82-C82,2),"")</f>
        <v>0</v>
      </c>
      <c r="G82" s="29" t="n">
        <f aca="false">IF(E82="Amount Break",B82-C82,IF(E82="Missing in Statement",B82,IF(E82="Missing in Ledger",-C82,IF(E82="Duplicate in Statement",-C82*(D82-1),0))))</f>
        <v>0</v>
      </c>
      <c r="H82" s="27" t="str">
        <f aca="false">IFERROR(INDEX(Transactions!$H$2:$H$114,MATCH(A82,Transactions!$A$2:$A$114,0)),"")</f>
        <v>UNKNOWN CLIENT</v>
      </c>
      <c r="I82" s="27"/>
    </row>
    <row r="83" customFormat="false" ht="15" hidden="false" customHeight="false" outlineLevel="0" collapsed="false">
      <c r="A83" s="27" t="s">
        <v>412</v>
      </c>
      <c r="B83" s="29" t="n">
        <f aca="false">IFERROR(INDEX(Transactions!$E$2:$E$114,MATCH(A83,Transactions!$A$2:$A$114,0)),"")</f>
        <v>65700</v>
      </c>
      <c r="C83" s="29" t="n">
        <f aca="false">IFERROR(INDEX(Src_BankStatement!$C$2:$C$114,MATCH(A83,Src_BankStatement!$A$2:$A$114,0)),"")</f>
        <v>65700</v>
      </c>
      <c r="D83" s="27" t="n">
        <f aca="false">COUNTIF(Src_BankStatement!$A$2:$A$114,A83)</f>
        <v>1</v>
      </c>
      <c r="E83" s="27" t="str">
        <f aca="false">IF(AND(B83="",C83=""),"",IF(B83="","Missing in Ledger",IF(C83="","Missing in Statement",IF(D83&gt;1,"Duplicate in Statement",IF(ABS(B83-C83)&gt;0.005,"Amount Break","Matched")))))</f>
        <v>Matched</v>
      </c>
      <c r="F83" s="29" t="n">
        <f aca="false">IF(AND(ISNUMBER(B83),ISNUMBER(C83)),ROUND(B83-C83,2),"")</f>
        <v>0</v>
      </c>
      <c r="G83" s="29" t="n">
        <f aca="false">IF(E83="Amount Break",B83-C83,IF(E83="Missing in Statement",B83,IF(E83="Missing in Ledger",-C83,IF(E83="Duplicate in Statement",-C83*(D83-1),0))))</f>
        <v>0</v>
      </c>
      <c r="H83" s="27" t="str">
        <f aca="false">IFERROR(INDEX(Transactions!$H$2:$H$114,MATCH(A83,Transactions!$A$2:$A$114,0)),"")</f>
        <v>Nordic Precision Manufacturing GmbH</v>
      </c>
      <c r="I83" s="27"/>
    </row>
    <row r="84" customFormat="false" ht="15" hidden="false" customHeight="false" outlineLevel="0" collapsed="false">
      <c r="A84" s="27" t="s">
        <v>413</v>
      </c>
      <c r="B84" s="29" t="n">
        <f aca="false">IFERROR(INDEX(Transactions!$E$2:$E$114,MATCH(A84,Transactions!$A$2:$A$114,0)),"")</f>
        <v>42300</v>
      </c>
      <c r="C84" s="29" t="n">
        <f aca="false">IFERROR(INDEX(Src_BankStatement!$C$2:$C$114,MATCH(A84,Src_BankStatement!$A$2:$A$114,0)),"")</f>
        <v>42300</v>
      </c>
      <c r="D84" s="27" t="n">
        <f aca="false">COUNTIF(Src_BankStatement!$A$2:$A$114,A84)</f>
        <v>1</v>
      </c>
      <c r="E84" s="27" t="str">
        <f aca="false">IF(AND(B84="",C84=""),"",IF(B84="","Missing in Ledger",IF(C84="","Missing in Statement",IF(D84&gt;1,"Duplicate in Statement",IF(ABS(B84-C84)&gt;0.005,"Amount Break","Matched")))))</f>
        <v>Matched</v>
      </c>
      <c r="F84" s="29" t="n">
        <f aca="false">IF(AND(ISNUMBER(B84),ISNUMBER(C84)),ROUND(B84-C84,2),"")</f>
        <v>0</v>
      </c>
      <c r="G84" s="29" t="n">
        <f aca="false">IF(E84="Amount Break",B84-C84,IF(E84="Missing in Statement",B84,IF(E84="Missing in Ledger",-C84,IF(E84="Duplicate in Statement",-C84*(D84-1),0))))</f>
        <v>0</v>
      </c>
      <c r="H84" s="27" t="str">
        <f aca="false">IFERROR(INDEX(Transactions!$H$2:$H$114,MATCH(A84,Transactions!$A$2:$A$114,0)),"")</f>
        <v>Thames Consulting Partners LLP</v>
      </c>
      <c r="I84" s="27"/>
    </row>
    <row r="85" customFormat="false" ht="15" hidden="false" customHeight="false" outlineLevel="0" collapsed="false">
      <c r="A85" s="27" t="s">
        <v>414</v>
      </c>
      <c r="B85" s="29" t="n">
        <f aca="false">IFERROR(INDEX(Transactions!$E$2:$E$114,MATCH(A85,Transactions!$A$2:$A$114,0)),"")</f>
        <v>18100</v>
      </c>
      <c r="C85" s="29" t="n">
        <f aca="false">IFERROR(INDEX(Src_BankStatement!$C$2:$C$114,MATCH(A85,Src_BankStatement!$A$2:$A$114,0)),"")</f>
        <v>18100</v>
      </c>
      <c r="D85" s="27" t="n">
        <f aca="false">COUNTIF(Src_BankStatement!$A$2:$A$114,A85)</f>
        <v>1</v>
      </c>
      <c r="E85" s="27" t="str">
        <f aca="false">IF(AND(B85="",C85=""),"",IF(B85="","Missing in Ledger",IF(C85="","Missing in Statement",IF(D85&gt;1,"Duplicate in Statement",IF(ABS(B85-C85)&gt;0.005,"Amount Break","Matched")))))</f>
        <v>Matched</v>
      </c>
      <c r="F85" s="29" t="n">
        <f aca="false">IF(AND(ISNUMBER(B85),ISNUMBER(C85)),ROUND(B85-C85,2),"")</f>
        <v>0</v>
      </c>
      <c r="G85" s="29" t="n">
        <f aca="false">IF(E85="Amount Break",B85-C85,IF(E85="Missing in Statement",B85,IF(E85="Missing in Ledger",-C85,IF(E85="Duplicate in Statement",-C85*(D85-1),0))))</f>
        <v>0</v>
      </c>
      <c r="H85" s="27" t="str">
        <f aca="false">IFERROR(INDEX(Transactions!$H$2:$H$114,MATCH(A85,Transactions!$A$2:$A$114,0)),"")</f>
        <v>Sakura Electronics KK</v>
      </c>
      <c r="I85" s="27"/>
    </row>
    <row r="86" customFormat="false" ht="15" hidden="false" customHeight="false" outlineLevel="0" collapsed="false">
      <c r="A86" s="27" t="s">
        <v>415</v>
      </c>
      <c r="B86" s="29" t="n">
        <f aca="false">IFERROR(INDEX(Transactions!$E$2:$E$114,MATCH(A86,Transactions!$A$2:$A$114,0)),"")</f>
        <v>32700</v>
      </c>
      <c r="C86" s="29" t="n">
        <f aca="false">IFERROR(INDEX(Src_BankStatement!$C$2:$C$114,MATCH(A86,Src_BankStatement!$A$2:$A$114,0)),"")</f>
        <v>32700</v>
      </c>
      <c r="D86" s="27" t="n">
        <f aca="false">COUNTIF(Src_BankStatement!$A$2:$A$114,A86)</f>
        <v>1</v>
      </c>
      <c r="E86" s="27" t="str">
        <f aca="false">IF(AND(B86="",C86=""),"",IF(B86="","Missing in Ledger",IF(C86="","Missing in Statement",IF(D86&gt;1,"Duplicate in Statement",IF(ABS(B86-C86)&gt;0.005,"Amount Break","Matched")))))</f>
        <v>Matched</v>
      </c>
      <c r="F86" s="29" t="n">
        <f aca="false">IF(AND(ISNUMBER(B86),ISNUMBER(C86)),ROUND(B86-C86,2),"")</f>
        <v>0</v>
      </c>
      <c r="G86" s="29" t="n">
        <f aca="false">IF(E86="Amount Break",B86-C86,IF(E86="Missing in Statement",B86,IF(E86="Missing in Ledger",-C86,IF(E86="Duplicate in Statement",-C86*(D86-1),0))))</f>
        <v>0</v>
      </c>
      <c r="H86" s="27" t="str">
        <f aca="false">IFERROR(INDEX(Transactions!$H$2:$H$114,MATCH(A86,Transactions!$A$2:$A$114,0)),"")</f>
        <v>Evergreen Charitable Foundation</v>
      </c>
      <c r="I86" s="27"/>
    </row>
    <row r="87" customFormat="false" ht="15" hidden="false" customHeight="false" outlineLevel="0" collapsed="false">
      <c r="A87" s="27" t="s">
        <v>416</v>
      </c>
      <c r="B87" s="29" t="n">
        <f aca="false">IFERROR(INDEX(Transactions!$E$2:$E$114,MATCH(A87,Transactions!$A$2:$A$114,0)),"")</f>
        <v>9500</v>
      </c>
      <c r="C87" s="29" t="n">
        <f aca="false">IFERROR(INDEX(Src_BankStatement!$C$2:$C$114,MATCH(A87,Src_BankStatement!$A$2:$A$114,0)),"")</f>
        <v>9500</v>
      </c>
      <c r="D87" s="27" t="n">
        <f aca="false">COUNTIF(Src_BankStatement!$A$2:$A$114,A87)</f>
        <v>1</v>
      </c>
      <c r="E87" s="27" t="str">
        <f aca="false">IF(AND(B87="",C87=""),"",IF(B87="","Missing in Ledger",IF(C87="","Missing in Statement",IF(D87&gt;1,"Duplicate in Statement",IF(ABS(B87-C87)&gt;0.005,"Amount Break","Matched")))))</f>
        <v>Matched</v>
      </c>
      <c r="F87" s="29" t="n">
        <f aca="false">IF(AND(ISNUMBER(B87),ISNUMBER(C87)),ROUND(B87-C87,2),"")</f>
        <v>0</v>
      </c>
      <c r="G87" s="29" t="n">
        <f aca="false">IF(E87="Amount Break",B87-C87,IF(E87="Missing in Statement",B87,IF(E87="Missing in Ledger",-C87,IF(E87="Duplicate in Statement",-C87*(D87-1),0))))</f>
        <v>0</v>
      </c>
      <c r="H87" s="27" t="str">
        <f aca="false">IFERROR(INDEX(Transactions!$H$2:$H$114,MATCH(A87,Transactions!$A$2:$A$114,0)),"")</f>
        <v>Metro Fuel &amp; Convenience Stores Inc</v>
      </c>
      <c r="I87" s="27"/>
    </row>
    <row r="88" customFormat="false" ht="15" hidden="false" customHeight="false" outlineLevel="0" collapsed="false">
      <c r="A88" s="27" t="s">
        <v>417</v>
      </c>
      <c r="B88" s="29" t="n">
        <f aca="false">IFERROR(INDEX(Transactions!$E$2:$E$114,MATCH(A88,Transactions!$A$2:$A$114,0)),"")</f>
        <v>81200</v>
      </c>
      <c r="C88" s="29" t="n">
        <f aca="false">IFERROR(INDEX(Src_BankStatement!$C$2:$C$114,MATCH(A88,Src_BankStatement!$A$2:$A$114,0)),"")</f>
        <v>81200</v>
      </c>
      <c r="D88" s="27" t="n">
        <f aca="false">COUNTIF(Src_BankStatement!$A$2:$A$114,A88)</f>
        <v>1</v>
      </c>
      <c r="E88" s="27" t="str">
        <f aca="false">IF(AND(B88="",C88=""),"",IF(B88="","Missing in Ledger",IF(C88="","Missing in Statement",IF(D88&gt;1,"Duplicate in Statement",IF(ABS(B88-C88)&gt;0.005,"Amount Break","Matched")))))</f>
        <v>Matched</v>
      </c>
      <c r="F88" s="29" t="n">
        <f aca="false">IF(AND(ISNUMBER(B88),ISNUMBER(C88)),ROUND(B88-C88,2),"")</f>
        <v>0</v>
      </c>
      <c r="G88" s="29" t="n">
        <f aca="false">IF(E88="Amount Break",B88-C88,IF(E88="Missing in Statement",B88,IF(E88="Missing in Ledger",-C88,IF(E88="Duplicate in Statement",-C88*(D88-1),0))))</f>
        <v>0</v>
      </c>
      <c r="H88" s="27" t="str">
        <f aca="false">IFERROR(INDEX(Transactions!$H$2:$H$114,MATCH(A88,Transactions!$A$2:$A$114,0)),"")</f>
        <v>Granite Peak Mining Services Ltd</v>
      </c>
      <c r="I88" s="27"/>
    </row>
    <row r="89" customFormat="false" ht="15" hidden="false" customHeight="false" outlineLevel="0" collapsed="false">
      <c r="A89" s="27" t="s">
        <v>418</v>
      </c>
      <c r="B89" s="29" t="n">
        <f aca="false">IFERROR(INDEX(Transactions!$E$2:$E$114,MATCH(A89,Transactions!$A$2:$A$114,0)),"")</f>
        <v>16000</v>
      </c>
      <c r="C89" s="29" t="n">
        <f aca="false">IFERROR(INDEX(Src_BankStatement!$C$2:$C$114,MATCH(A89,Src_BankStatement!$A$2:$A$114,0)),"")</f>
        <v>16000</v>
      </c>
      <c r="D89" s="27" t="n">
        <f aca="false">COUNTIF(Src_BankStatement!$A$2:$A$114,A89)</f>
        <v>1</v>
      </c>
      <c r="E89" s="27" t="str">
        <f aca="false">IF(AND(B89="",C89=""),"",IF(B89="","Missing in Ledger",IF(C89="","Missing in Statement",IF(D89&gt;1,"Duplicate in Statement",IF(ABS(B89-C89)&gt;0.005,"Amount Break","Matched")))))</f>
        <v>Matched</v>
      </c>
      <c r="F89" s="29" t="n">
        <f aca="false">IF(AND(ISNUMBER(B89),ISNUMBER(C89)),ROUND(B89-C89,2),"")</f>
        <v>0</v>
      </c>
      <c r="G89" s="29" t="n">
        <f aca="false">IF(E89="Amount Break",B89-C89,IF(E89="Missing in Statement",B89,IF(E89="Missing in Ledger",-C89,IF(E89="Duplicate in Statement",-C89*(D89-1),0))))</f>
        <v>0</v>
      </c>
      <c r="H89" s="27" t="str">
        <f aca="false">IFERROR(INDEX(Transactions!$H$2:$H$114,MATCH(A89,Transactions!$A$2:$A$114,0)),"")</f>
        <v>Maple Leaf Health Clinics Inc</v>
      </c>
      <c r="I89" s="27"/>
    </row>
    <row r="90" customFormat="false" ht="15" hidden="false" customHeight="false" outlineLevel="0" collapsed="false">
      <c r="A90" s="27" t="s">
        <v>419</v>
      </c>
      <c r="B90" s="29" t="n">
        <f aca="false">IFERROR(INDEX(Transactions!$E$2:$E$114,MATCH(A90,Transactions!$A$2:$A$114,0)),"")</f>
        <v>9800</v>
      </c>
      <c r="C90" s="29" t="n">
        <f aca="false">IFERROR(INDEX(Src_BankStatement!$C$2:$C$114,MATCH(A90,Src_BankStatement!$A$2:$A$114,0)),"")</f>
        <v>9800</v>
      </c>
      <c r="D90" s="27" t="n">
        <f aca="false">COUNTIF(Src_BankStatement!$A$2:$A$114,A90)</f>
        <v>1</v>
      </c>
      <c r="E90" s="27" t="str">
        <f aca="false">IF(AND(B90="",C90=""),"",IF(B90="","Missing in Ledger",IF(C90="","Missing in Statement",IF(D90&gt;1,"Duplicate in Statement",IF(ABS(B90-C90)&gt;0.005,"Amount Break","Matched")))))</f>
        <v>Matched</v>
      </c>
      <c r="F90" s="29" t="n">
        <f aca="false">IF(AND(ISNUMBER(B90),ISNUMBER(C90)),ROUND(B90-C90,2),"")</f>
        <v>0</v>
      </c>
      <c r="G90" s="29" t="n">
        <f aca="false">IF(E90="Amount Break",B90-C90,IF(E90="Missing in Statement",B90,IF(E90="Missing in Ledger",-C90,IF(E90="Duplicate in Statement",-C90*(D90-1),0))))</f>
        <v>0</v>
      </c>
      <c r="H90" s="27" t="str">
        <f aca="false">IFERROR(INDEX(Transactions!$H$2:$H$114,MATCH(A90,Transactions!$A$2:$A$114,0)),"")</f>
        <v>Metro Fuel &amp; Convenience Stores Inc</v>
      </c>
      <c r="I90" s="27"/>
    </row>
    <row r="91" customFormat="false" ht="15" hidden="false" customHeight="false" outlineLevel="0" collapsed="false">
      <c r="A91" s="27" t="s">
        <v>420</v>
      </c>
      <c r="B91" s="29" t="n">
        <f aca="false">IFERROR(INDEX(Transactions!$E$2:$E$114,MATCH(A91,Transactions!$A$2:$A$114,0)),"")</f>
        <v>5400</v>
      </c>
      <c r="C91" s="29" t="n">
        <f aca="false">IFERROR(INDEX(Src_BankStatement!$C$2:$C$114,MATCH(A91,Src_BankStatement!$A$2:$A$114,0)),"")</f>
        <v>5400</v>
      </c>
      <c r="D91" s="27" t="n">
        <f aca="false">COUNTIF(Src_BankStatement!$A$2:$A$114,A91)</f>
        <v>1</v>
      </c>
      <c r="E91" s="27" t="str">
        <f aca="false">IF(AND(B91="",C91=""),"",IF(B91="","Missing in Ledger",IF(C91="","Missing in Statement",IF(D91&gt;1,"Duplicate in Statement",IF(ABS(B91-C91)&gt;0.005,"Amount Break","Matched")))))</f>
        <v>Matched</v>
      </c>
      <c r="F91" s="29" t="n">
        <f aca="false">IF(AND(ISNUMBER(B91),ISNUMBER(C91)),ROUND(B91-C91,2),"")</f>
        <v>0</v>
      </c>
      <c r="G91" s="29" t="n">
        <f aca="false">IF(E91="Amount Break",B91-C91,IF(E91="Missing in Statement",B91,IF(E91="Missing in Ledger",-C91,IF(E91="Duplicate in Statement",-C91*(D91-1),0))))</f>
        <v>0</v>
      </c>
      <c r="H91" s="27" t="str">
        <f aca="false">IFERROR(INDEX(Transactions!$H$2:$H$114,MATCH(A91,Transactions!$A$2:$A$114,0)),"")</f>
        <v>Ridgeway Used Cars Ltd</v>
      </c>
      <c r="I91" s="27"/>
    </row>
    <row r="92" customFormat="false" ht="15" hidden="false" customHeight="false" outlineLevel="0" collapsed="false">
      <c r="A92" s="27" t="s">
        <v>421</v>
      </c>
      <c r="B92" s="29" t="n">
        <f aca="false">IFERROR(INDEX(Transactions!$E$2:$E$114,MATCH(A92,Transactions!$A$2:$A$114,0)),"")</f>
        <v>48500</v>
      </c>
      <c r="C92" s="29" t="n">
        <f aca="false">IFERROR(INDEX(Src_BankStatement!$C$2:$C$114,MATCH(A92,Src_BankStatement!$A$2:$A$114,0)),"")</f>
        <v>48500</v>
      </c>
      <c r="D92" s="27" t="n">
        <f aca="false">COUNTIF(Src_BankStatement!$A$2:$A$114,A92)</f>
        <v>1</v>
      </c>
      <c r="E92" s="27" t="str">
        <f aca="false">IF(AND(B92="",C92=""),"",IF(B92="","Missing in Ledger",IF(C92="","Missing in Statement",IF(D92&gt;1,"Duplicate in Statement",IF(ABS(B92-C92)&gt;0.005,"Amount Break","Matched")))))</f>
        <v>Matched</v>
      </c>
      <c r="F92" s="29" t="n">
        <f aca="false">IF(AND(ISNUMBER(B92),ISNUMBER(C92)),ROUND(B92-C92,2),"")</f>
        <v>0</v>
      </c>
      <c r="G92" s="29" t="n">
        <f aca="false">IF(E92="Amount Break",B92-C92,IF(E92="Missing in Statement",B92,IF(E92="Missing in Ledger",-C92,IF(E92="Duplicate in Statement",-C92*(D92-1),0))))</f>
        <v>0</v>
      </c>
      <c r="H92" s="27" t="str">
        <f aca="false">IFERROR(INDEX(Transactions!$H$2:$H$114,MATCH(A92,Transactions!$A$2:$A$114,0)),"")</f>
        <v>Thames Consulting Partners LLP</v>
      </c>
      <c r="I92" s="27"/>
    </row>
    <row r="93" customFormat="false" ht="15" hidden="false" customHeight="false" outlineLevel="0" collapsed="false">
      <c r="A93" s="27" t="s">
        <v>422</v>
      </c>
      <c r="B93" s="29" t="n">
        <f aca="false">IFERROR(INDEX(Transactions!$E$2:$E$114,MATCH(A93,Transactions!$A$2:$A$114,0)),"")</f>
        <v>28000</v>
      </c>
      <c r="C93" s="29" t="n">
        <f aca="false">IFERROR(INDEX(Src_BankStatement!$C$2:$C$114,MATCH(A93,Src_BankStatement!$A$2:$A$114,0)),"")</f>
        <v>28000</v>
      </c>
      <c r="D93" s="27" t="n">
        <f aca="false">COUNTIF(Src_BankStatement!$A$2:$A$114,A93)</f>
        <v>1</v>
      </c>
      <c r="E93" s="27" t="str">
        <f aca="false">IF(AND(B93="",C93=""),"",IF(B93="","Missing in Ledger",IF(C93="","Missing in Statement",IF(D93&gt;1,"Duplicate in Statement",IF(ABS(B93-C93)&gt;0.005,"Amount Break","Matched")))))</f>
        <v>Matched</v>
      </c>
      <c r="F93" s="29" t="n">
        <f aca="false">IF(AND(ISNUMBER(B93),ISNUMBER(C93)),ROUND(B93-C93,2),"")</f>
        <v>0</v>
      </c>
      <c r="G93" s="29" t="n">
        <f aca="false">IF(E93="Amount Break",B93-C93,IF(E93="Missing in Statement",B93,IF(E93="Missing in Ledger",-C93,IF(E93="Duplicate in Statement",-C93*(D93-1),0))))</f>
        <v>0</v>
      </c>
      <c r="H93" s="27" t="str">
        <f aca="false">IFERROR(INDEX(Transactions!$H$2:$H$114,MATCH(A93,Transactions!$A$2:$A$114,0)),"")</f>
        <v>Baltic Star Shipping Ltd</v>
      </c>
      <c r="I93" s="27"/>
    </row>
    <row r="94" customFormat="false" ht="15" hidden="false" customHeight="false" outlineLevel="0" collapsed="false">
      <c r="A94" s="27" t="s">
        <v>424</v>
      </c>
      <c r="B94" s="29" t="n">
        <f aca="false">IFERROR(INDEX(Transactions!$E$2:$E$114,MATCH(A94,Transactions!$A$2:$A$114,0)),"")</f>
        <v>52000</v>
      </c>
      <c r="C94" s="29" t="n">
        <f aca="false">IFERROR(INDEX(Src_BankStatement!$C$2:$C$114,MATCH(A94,Src_BankStatement!$A$2:$A$114,0)),"")</f>
        <v>52000</v>
      </c>
      <c r="D94" s="27" t="n">
        <f aca="false">COUNTIF(Src_BankStatement!$A$2:$A$114,A94)</f>
        <v>1</v>
      </c>
      <c r="E94" s="27" t="str">
        <f aca="false">IF(AND(B94="",C94=""),"",IF(B94="","Missing in Ledger",IF(C94="","Missing in Statement",IF(D94&gt;1,"Duplicate in Statement",IF(ABS(B94-C94)&gt;0.005,"Amount Break","Matched")))))</f>
        <v>Matched</v>
      </c>
      <c r="F94" s="29" t="n">
        <f aca="false">IF(AND(ISNUMBER(B94),ISNUMBER(C94)),ROUND(B94-C94,2),"")</f>
        <v>0</v>
      </c>
      <c r="G94" s="29" t="n">
        <f aca="false">IF(E94="Amount Break",B94-C94,IF(E94="Missing in Statement",B94,IF(E94="Missing in Ledger",-C94,IF(E94="Duplicate in Statement",-C94*(D94-1),0))))</f>
        <v>0</v>
      </c>
      <c r="H94" s="27" t="str">
        <f aca="false">IFERROR(INDEX(Transactions!$H$2:$H$114,MATCH(A94,Transactions!$A$2:$A$114,0)),"")</f>
        <v>UNKNOWN CLIENT</v>
      </c>
      <c r="I94" s="27"/>
    </row>
    <row r="95" customFormat="false" ht="15" hidden="false" customHeight="false" outlineLevel="0" collapsed="false">
      <c r="A95" s="27" t="s">
        <v>426</v>
      </c>
      <c r="B95" s="29" t="n">
        <f aca="false">IFERROR(INDEX(Transactions!$E$2:$E$114,MATCH(A95,Transactions!$A$2:$A$114,0)),"")</f>
        <v>53900</v>
      </c>
      <c r="C95" s="29" t="n">
        <f aca="false">IFERROR(INDEX(Src_BankStatement!$C$2:$C$114,MATCH(A95,Src_BankStatement!$A$2:$A$114,0)),"")</f>
        <v>53900</v>
      </c>
      <c r="D95" s="27" t="n">
        <f aca="false">COUNTIF(Src_BankStatement!$A$2:$A$114,A95)</f>
        <v>1</v>
      </c>
      <c r="E95" s="27" t="str">
        <f aca="false">IF(AND(B95="",C95=""),"",IF(B95="","Missing in Ledger",IF(C95="","Missing in Statement",IF(D95&gt;1,"Duplicate in Statement",IF(ABS(B95-C95)&gt;0.005,"Amount Break","Matched")))))</f>
        <v>Matched</v>
      </c>
      <c r="F95" s="29" t="n">
        <f aca="false">IF(AND(ISNUMBER(B95),ISNUMBER(C95)),ROUND(B95-C95,2),"")</f>
        <v>0</v>
      </c>
      <c r="G95" s="29" t="n">
        <f aca="false">IF(E95="Amount Break",B95-C95,IF(E95="Missing in Statement",B95,IF(E95="Missing in Ledger",-C95,IF(E95="Duplicate in Statement",-C95*(D95-1),0))))</f>
        <v>0</v>
      </c>
      <c r="H95" s="27" t="str">
        <f aca="false">IFERROR(INDEX(Transactions!$H$2:$H$114,MATCH(A95,Transactions!$A$2:$A$114,0)),"")</f>
        <v>Aurora Software Solutions Pvt Ltd</v>
      </c>
      <c r="I95" s="27"/>
    </row>
    <row r="96" customFormat="false" ht="15" hidden="false" customHeight="false" outlineLevel="0" collapsed="false">
      <c r="A96" s="27" t="s">
        <v>427</v>
      </c>
      <c r="B96" s="29" t="n">
        <f aca="false">IFERROR(INDEX(Transactions!$E$2:$E$114,MATCH(A96,Transactions!$A$2:$A$114,0)),"")</f>
        <v>73400</v>
      </c>
      <c r="C96" s="29" t="n">
        <f aca="false">IFERROR(INDEX(Src_BankStatement!$C$2:$C$114,MATCH(A96,Src_BankStatement!$A$2:$A$114,0)),"")</f>
        <v>73400</v>
      </c>
      <c r="D96" s="27" t="n">
        <f aca="false">COUNTIF(Src_BankStatement!$A$2:$A$114,A96)</f>
        <v>1</v>
      </c>
      <c r="E96" s="27" t="str">
        <f aca="false">IF(AND(B96="",C96=""),"",IF(B96="","Missing in Ledger",IF(C96="","Missing in Statement",IF(D96&gt;1,"Duplicate in Statement",IF(ABS(B96-C96)&gt;0.005,"Amount Break","Matched")))))</f>
        <v>Matched</v>
      </c>
      <c r="F96" s="29" t="n">
        <f aca="false">IF(AND(ISNUMBER(B96),ISNUMBER(C96)),ROUND(B96-C96,2),"")</f>
        <v>0</v>
      </c>
      <c r="G96" s="29" t="n">
        <f aca="false">IF(E96="Amount Break",B96-C96,IF(E96="Missing in Statement",B96,IF(E96="Missing in Ledger",-C96,IF(E96="Duplicate in Statement",-C96*(D96-1),0))))</f>
        <v>0</v>
      </c>
      <c r="H96" s="27" t="str">
        <f aca="false">IFERROR(INDEX(Transactions!$H$2:$H$114,MATCH(A96,Transactions!$A$2:$A$114,0)),"")</f>
        <v>Lotus Healthcare Systems Ltd</v>
      </c>
      <c r="I96" s="27"/>
    </row>
    <row r="97" customFormat="false" ht="15" hidden="false" customHeight="false" outlineLevel="0" collapsed="false">
      <c r="A97" s="27" t="s">
        <v>428</v>
      </c>
      <c r="B97" s="29" t="n">
        <f aca="false">IFERROR(INDEX(Transactions!$E$2:$E$114,MATCH(A97,Transactions!$A$2:$A$114,0)),"")</f>
        <v>9200</v>
      </c>
      <c r="C97" s="29" t="n">
        <f aca="false">IFERROR(INDEX(Src_BankStatement!$C$2:$C$114,MATCH(A97,Src_BankStatement!$A$2:$A$114,0)),"")</f>
        <v>9200</v>
      </c>
      <c r="D97" s="27" t="n">
        <f aca="false">COUNTIF(Src_BankStatement!$A$2:$A$114,A97)</f>
        <v>1</v>
      </c>
      <c r="E97" s="27" t="str">
        <f aca="false">IF(AND(B97="",C97=""),"",IF(B97="","Missing in Ledger",IF(C97="","Missing in Statement",IF(D97&gt;1,"Duplicate in Statement",IF(ABS(B97-C97)&gt;0.005,"Amount Break","Matched")))))</f>
        <v>Matched</v>
      </c>
      <c r="F97" s="29" t="n">
        <f aca="false">IF(AND(ISNUMBER(B97),ISNUMBER(C97)),ROUND(B97-C97,2),"")</f>
        <v>0</v>
      </c>
      <c r="G97" s="29" t="n">
        <f aca="false">IF(E97="Amount Break",B97-C97,IF(E97="Missing in Statement",B97,IF(E97="Missing in Ledger",-C97,IF(E97="Duplicate in Statement",-C97*(D97-1),0))))</f>
        <v>0</v>
      </c>
      <c r="H97" s="27" t="str">
        <f aca="false">IFERROR(INDEX(Transactions!$H$2:$H$114,MATCH(A97,Transactions!$A$2:$A$114,0)),"")</f>
        <v>Metro Fuel &amp; Convenience Stores Inc</v>
      </c>
      <c r="I97" s="27"/>
    </row>
    <row r="98" customFormat="false" ht="15" hidden="false" customHeight="false" outlineLevel="0" collapsed="false">
      <c r="A98" s="27" t="s">
        <v>429</v>
      </c>
      <c r="B98" s="29" t="n">
        <f aca="false">IFERROR(INDEX(Transactions!$E$2:$E$114,MATCH(A98,Transactions!$A$2:$A$114,0)),"")</f>
        <v>28500</v>
      </c>
      <c r="C98" s="29" t="n">
        <f aca="false">IFERROR(INDEX(Src_BankStatement!$C$2:$C$114,MATCH(A98,Src_BankStatement!$A$2:$A$114,0)),"")</f>
        <v>28500</v>
      </c>
      <c r="D98" s="27" t="n">
        <f aca="false">COUNTIF(Src_BankStatement!$A$2:$A$114,A98)</f>
        <v>1</v>
      </c>
      <c r="E98" s="27" t="str">
        <f aca="false">IF(AND(B98="",C98=""),"",IF(B98="","Missing in Ledger",IF(C98="","Missing in Statement",IF(D98&gt;1,"Duplicate in Statement",IF(ABS(B98-C98)&gt;0.005,"Amount Break","Matched")))))</f>
        <v>Matched</v>
      </c>
      <c r="F98" s="29" t="n">
        <f aca="false">IF(AND(ISNUMBER(B98),ISNUMBER(C98)),ROUND(B98-C98,2),"")</f>
        <v>0</v>
      </c>
      <c r="G98" s="29" t="n">
        <f aca="false">IF(E98="Amount Break",B98-C98,IF(E98="Missing in Statement",B98,IF(E98="Missing in Ledger",-C98,IF(E98="Duplicate in Statement",-C98*(D98-1),0))))</f>
        <v>0</v>
      </c>
      <c r="H98" s="27" t="str">
        <f aca="false">IFERROR(INDEX(Transactions!$H$2:$H$114,MATCH(A98,Transactions!$A$2:$A$114,0)),"")</f>
        <v>Kestrel Engineering Services Pte Ltd</v>
      </c>
      <c r="I98" s="27"/>
    </row>
    <row r="99" customFormat="false" ht="15" hidden="false" customHeight="false" outlineLevel="0" collapsed="false">
      <c r="A99" s="27" t="s">
        <v>430</v>
      </c>
      <c r="B99" s="29" t="n">
        <f aca="false">IFERROR(INDEX(Transactions!$E$2:$E$114,MATCH(A99,Transactions!$A$2:$A$114,0)),"")</f>
        <v>83800</v>
      </c>
      <c r="C99" s="29" t="n">
        <f aca="false">IFERROR(INDEX(Src_BankStatement!$C$2:$C$114,MATCH(A99,Src_BankStatement!$A$2:$A$114,0)),"")</f>
        <v>83800</v>
      </c>
      <c r="D99" s="27" t="n">
        <f aca="false">COUNTIF(Src_BankStatement!$A$2:$A$114,A99)</f>
        <v>1</v>
      </c>
      <c r="E99" s="27" t="str">
        <f aca="false">IF(AND(B99="",C99=""),"",IF(B99="","Missing in Ledger",IF(C99="","Missing in Statement",IF(D99&gt;1,"Duplicate in Statement",IF(ABS(B99-C99)&gt;0.005,"Amount Break","Matched")))))</f>
        <v>Matched</v>
      </c>
      <c r="F99" s="29" t="n">
        <f aca="false">IF(AND(ISNUMBER(B99),ISNUMBER(C99)),ROUND(B99-C99,2),"")</f>
        <v>0</v>
      </c>
      <c r="G99" s="29" t="n">
        <f aca="false">IF(E99="Amount Break",B99-C99,IF(E99="Missing in Statement",B99,IF(E99="Missing in Ledger",-C99,IF(E99="Duplicate in Statement",-C99*(D99-1),0))))</f>
        <v>0</v>
      </c>
      <c r="H99" s="27" t="str">
        <f aca="false">IFERROR(INDEX(Transactions!$H$2:$H$114,MATCH(A99,Transactions!$A$2:$A$114,0)),"")</f>
        <v>Granite Peak Mining Services Ltd</v>
      </c>
      <c r="I99" s="27"/>
    </row>
    <row r="100" customFormat="false" ht="15" hidden="false" customHeight="false" outlineLevel="0" collapsed="false">
      <c r="A100" s="27" t="s">
        <v>431</v>
      </c>
      <c r="B100" s="29" t="n">
        <f aca="false">IFERROR(INDEX(Transactions!$E$2:$E$114,MATCH(A100,Transactions!$A$2:$A$114,0)),"")</f>
        <v>40000</v>
      </c>
      <c r="C100" s="29" t="n">
        <f aca="false">IFERROR(INDEX(Src_BankStatement!$C$2:$C$114,MATCH(A100,Src_BankStatement!$A$2:$A$114,0)),"")</f>
        <v>40000</v>
      </c>
      <c r="D100" s="27" t="n">
        <f aca="false">COUNTIF(Src_BankStatement!$A$2:$A$114,A100)</f>
        <v>1</v>
      </c>
      <c r="E100" s="27" t="str">
        <f aca="false">IF(AND(B100="",C100=""),"",IF(B100="","Missing in Ledger",IF(C100="","Missing in Statement",IF(D100&gt;1,"Duplicate in Statement",IF(ABS(B100-C100)&gt;0.005,"Amount Break","Matched")))))</f>
        <v>Matched</v>
      </c>
      <c r="F100" s="29" t="n">
        <f aca="false">IF(AND(ISNUMBER(B100),ISNUMBER(C100)),ROUND(B100-C100,2),"")</f>
        <v>0</v>
      </c>
      <c r="G100" s="29" t="n">
        <f aca="false">IF(E100="Amount Break",B100-C100,IF(E100="Missing in Statement",B100,IF(E100="Missing in Ledger",-C100,IF(E100="Duplicate in Statement",-C100*(D100-1),0))))</f>
        <v>0</v>
      </c>
      <c r="H100" s="27" t="str">
        <f aca="false">IFERROR(INDEX(Transactions!$H$2:$H$114,MATCH(A100,Transactions!$A$2:$A$114,0)),"")</f>
        <v>Zenith Wellness Clinics Pvt Ltd</v>
      </c>
      <c r="I100" s="27"/>
    </row>
    <row r="101" customFormat="false" ht="15" hidden="false" customHeight="false" outlineLevel="0" collapsed="false">
      <c r="A101" s="27" t="s">
        <v>433</v>
      </c>
      <c r="B101" s="29" t="n">
        <f aca="false">IFERROR(INDEX(Transactions!$E$2:$E$114,MATCH(A101,Transactions!$A$2:$A$114,0)),"")</f>
        <v>35600</v>
      </c>
      <c r="C101" s="29" t="n">
        <f aca="false">IFERROR(INDEX(Src_BankStatement!$C$2:$C$114,MATCH(A101,Src_BankStatement!$A$2:$A$114,0)),"")</f>
        <v>35600</v>
      </c>
      <c r="D101" s="27" t="n">
        <f aca="false">COUNTIF(Src_BankStatement!$A$2:$A$114,A101)</f>
        <v>1</v>
      </c>
      <c r="E101" s="27" t="str">
        <f aca="false">IF(AND(B101="",C101=""),"",IF(B101="","Missing in Ledger",IF(C101="","Missing in Statement",IF(D101&gt;1,"Duplicate in Statement",IF(ABS(B101-C101)&gt;0.005,"Amount Break","Matched")))))</f>
        <v>Matched</v>
      </c>
      <c r="F101" s="29" t="n">
        <f aca="false">IF(AND(ISNUMBER(B101),ISNUMBER(C101)),ROUND(B101-C101,2),"")</f>
        <v>0</v>
      </c>
      <c r="G101" s="29" t="n">
        <f aca="false">IF(E101="Amount Break",B101-C101,IF(E101="Missing in Statement",B101,IF(E101="Missing in Ledger",-C101,IF(E101="Duplicate in Statement",-C101*(D101-1),0))))</f>
        <v>0</v>
      </c>
      <c r="H101" s="27" t="str">
        <f aca="false">IFERROR(INDEX(Transactions!$H$2:$H$114,MATCH(A101,Transactions!$A$2:$A$114,0)),"")</f>
        <v>Lotus Healthcare Systems Ltd</v>
      </c>
      <c r="I101" s="27"/>
    </row>
    <row r="102" customFormat="false" ht="15" hidden="false" customHeight="false" outlineLevel="0" collapsed="false">
      <c r="A102" s="27" t="s">
        <v>434</v>
      </c>
      <c r="B102" s="29" t="n">
        <f aca="false">IFERROR(INDEX(Transactions!$E$2:$E$114,MATCH(A102,Transactions!$A$2:$A$114,0)),"")</f>
        <v>9700</v>
      </c>
      <c r="C102" s="29" t="n">
        <f aca="false">IFERROR(INDEX(Src_BankStatement!$C$2:$C$114,MATCH(A102,Src_BankStatement!$A$2:$A$114,0)),"")</f>
        <v>9700</v>
      </c>
      <c r="D102" s="27" t="n">
        <f aca="false">COUNTIF(Src_BankStatement!$A$2:$A$114,A102)</f>
        <v>1</v>
      </c>
      <c r="E102" s="27" t="str">
        <f aca="false">IF(AND(B102="",C102=""),"",IF(B102="","Missing in Ledger",IF(C102="","Missing in Statement",IF(D102&gt;1,"Duplicate in Statement",IF(ABS(B102-C102)&gt;0.005,"Amount Break","Matched")))))</f>
        <v>Matched</v>
      </c>
      <c r="F102" s="29" t="n">
        <f aca="false">IF(AND(ISNUMBER(B102),ISNUMBER(C102)),ROUND(B102-C102,2),"")</f>
        <v>0</v>
      </c>
      <c r="G102" s="29" t="n">
        <f aca="false">IF(E102="Amount Break",B102-C102,IF(E102="Missing in Statement",B102,IF(E102="Missing in Ledger",-C102,IF(E102="Duplicate in Statement",-C102*(D102-1),0))))</f>
        <v>0</v>
      </c>
      <c r="H102" s="27" t="str">
        <f aca="false">IFERROR(INDEX(Transactions!$H$2:$H$114,MATCH(A102,Transactions!$A$2:$A$114,0)),"")</f>
        <v>Metro Fuel &amp; Convenience Stores Inc</v>
      </c>
      <c r="I102" s="27"/>
    </row>
    <row r="103" customFormat="false" ht="15" hidden="false" customHeight="false" outlineLevel="0" collapsed="false">
      <c r="A103" s="27" t="s">
        <v>435</v>
      </c>
      <c r="B103" s="29" t="n">
        <f aca="false">IFERROR(INDEX(Transactions!$E$2:$E$114,MATCH(A103,Transactions!$A$2:$A$114,0)),"")</f>
        <v>86700</v>
      </c>
      <c r="C103" s="29" t="n">
        <f aca="false">IFERROR(INDEX(Src_BankStatement!$C$2:$C$114,MATCH(A103,Src_BankStatement!$A$2:$A$114,0)),"")</f>
        <v>86700</v>
      </c>
      <c r="D103" s="27" t="n">
        <f aca="false">COUNTIF(Src_BankStatement!$A$2:$A$114,A103)</f>
        <v>1</v>
      </c>
      <c r="E103" s="27" t="str">
        <f aca="false">IF(AND(B103="",C103=""),"",IF(B103="","Missing in Ledger",IF(C103="","Missing in Statement",IF(D103&gt;1,"Duplicate in Statement",IF(ABS(B103-C103)&gt;0.005,"Amount Break","Matched")))))</f>
        <v>Matched</v>
      </c>
      <c r="F103" s="29" t="n">
        <f aca="false">IF(AND(ISNUMBER(B103),ISNUMBER(C103)),ROUND(B103-C103,2),"")</f>
        <v>0</v>
      </c>
      <c r="G103" s="29" t="n">
        <f aca="false">IF(E103="Amount Break",B103-C103,IF(E103="Missing in Statement",B103,IF(E103="Missing in Ledger",-C103,IF(E103="Duplicate in Statement",-C103*(D103-1),0))))</f>
        <v>0</v>
      </c>
      <c r="H103" s="27" t="str">
        <f aca="false">IFERROR(INDEX(Transactions!$H$2:$H$114,MATCH(A103,Transactions!$A$2:$A$114,0)),"")</f>
        <v>Orion Freight Forwarders Pvt Ltd</v>
      </c>
      <c r="I103" s="27"/>
    </row>
    <row r="104" customFormat="false" ht="15" hidden="false" customHeight="false" outlineLevel="0" collapsed="false">
      <c r="A104" s="27" t="s">
        <v>436</v>
      </c>
      <c r="B104" s="29" t="n">
        <f aca="false">IFERROR(INDEX(Transactions!$E$2:$E$114,MATCH(A104,Transactions!$A$2:$A$114,0)),"")</f>
        <v>21800</v>
      </c>
      <c r="C104" s="29" t="n">
        <f aca="false">IFERROR(INDEX(Src_BankStatement!$C$2:$C$114,MATCH(A104,Src_BankStatement!$A$2:$A$114,0)),"")</f>
        <v>21800</v>
      </c>
      <c r="D104" s="27" t="n">
        <f aca="false">COUNTIF(Src_BankStatement!$A$2:$A$114,A104)</f>
        <v>1</v>
      </c>
      <c r="E104" s="27" t="str">
        <f aca="false">IF(AND(B104="",C104=""),"",IF(B104="","Missing in Ledger",IF(C104="","Missing in Statement",IF(D104&gt;1,"Duplicate in Statement",IF(ABS(B104-C104)&gt;0.005,"Amount Break","Matched")))))</f>
        <v>Matched</v>
      </c>
      <c r="F104" s="29" t="n">
        <f aca="false">IF(AND(ISNUMBER(B104),ISNUMBER(C104)),ROUND(B104-C104,2),"")</f>
        <v>0</v>
      </c>
      <c r="G104" s="29" t="n">
        <f aca="false">IF(E104="Amount Break",B104-C104,IF(E104="Missing in Statement",B104,IF(E104="Missing in Ledger",-C104,IF(E104="Duplicate in Statement",-C104*(D104-1),0))))</f>
        <v>0</v>
      </c>
      <c r="H104" s="27" t="str">
        <f aca="false">IFERROR(INDEX(Transactions!$H$2:$H$114,MATCH(A104,Transactions!$A$2:$A$114,0)),"")</f>
        <v>Zurich Wealth Advisory AG</v>
      </c>
      <c r="I104" s="27"/>
    </row>
    <row r="105" customFormat="false" ht="15" hidden="false" customHeight="false" outlineLevel="0" collapsed="false">
      <c r="A105" s="27" t="s">
        <v>437</v>
      </c>
      <c r="B105" s="29" t="n">
        <f aca="false">IFERROR(INDEX(Transactions!$E$2:$E$114,MATCH(A105,Transactions!$A$2:$A$114,0)),"")</f>
        <v>80600</v>
      </c>
      <c r="C105" s="29" t="n">
        <f aca="false">IFERROR(INDEX(Src_BankStatement!$C$2:$C$114,MATCH(A105,Src_BankStatement!$A$2:$A$114,0)),"")</f>
        <v>80600</v>
      </c>
      <c r="D105" s="27" t="n">
        <f aca="false">COUNTIF(Src_BankStatement!$A$2:$A$114,A105)</f>
        <v>1</v>
      </c>
      <c r="E105" s="27" t="str">
        <f aca="false">IF(AND(B105="",C105=""),"",IF(B105="","Missing in Ledger",IF(C105="","Missing in Statement",IF(D105&gt;1,"Duplicate in Statement",IF(ABS(B105-C105)&gt;0.005,"Amount Break","Matched")))))</f>
        <v>Matched</v>
      </c>
      <c r="F105" s="29" t="n">
        <f aca="false">IF(AND(ISNUMBER(B105),ISNUMBER(C105)),ROUND(B105-C105,2),"")</f>
        <v>0</v>
      </c>
      <c r="G105" s="29" t="n">
        <f aca="false">IF(E105="Amount Break",B105-C105,IF(E105="Missing in Statement",B105,IF(E105="Missing in Ledger",-C105,IF(E105="Duplicate in Statement",-C105*(D105-1),0))))</f>
        <v>0</v>
      </c>
      <c r="H105" s="27" t="str">
        <f aca="false">IFERROR(INDEX(Transactions!$H$2:$H$114,MATCH(A105,Transactions!$A$2:$A$114,0)),"")</f>
        <v>Meridian Textile Exports Pvt Ltd</v>
      </c>
      <c r="I105" s="27"/>
    </row>
    <row r="106" customFormat="false" ht="15" hidden="false" customHeight="false" outlineLevel="0" collapsed="false">
      <c r="A106" s="27" t="s">
        <v>438</v>
      </c>
      <c r="B106" s="29" t="n">
        <f aca="false">IFERROR(INDEX(Transactions!$E$2:$E$114,MATCH(A106,Transactions!$A$2:$A$114,0)),"")</f>
        <v>14500</v>
      </c>
      <c r="C106" s="29" t="n">
        <f aca="false">IFERROR(INDEX(Src_BankStatement!$C$2:$C$114,MATCH(A106,Src_BankStatement!$A$2:$A$114,0)),"")</f>
        <v>14500</v>
      </c>
      <c r="D106" s="27" t="n">
        <f aca="false">COUNTIF(Src_BankStatement!$A$2:$A$114,A106)</f>
        <v>1</v>
      </c>
      <c r="E106" s="27" t="str">
        <f aca="false">IF(AND(B106="",C106=""),"",IF(B106="","Missing in Ledger",IF(C106="","Missing in Statement",IF(D106&gt;1,"Duplicate in Statement",IF(ABS(B106-C106)&gt;0.005,"Amount Break","Matched")))))</f>
        <v>Matched</v>
      </c>
      <c r="F106" s="29" t="n">
        <f aca="false">IF(AND(ISNUMBER(B106),ISNUMBER(C106)),ROUND(B106-C106,2),"")</f>
        <v>0</v>
      </c>
      <c r="G106" s="29" t="n">
        <f aca="false">IF(E106="Amount Break",B106-C106,IF(E106="Missing in Statement",B106,IF(E106="Missing in Ledger",-C106,IF(E106="Duplicate in Statement",-C106*(D106-1),0))))</f>
        <v>0</v>
      </c>
      <c r="H106" s="27" t="str">
        <f aca="false">IFERROR(INDEX(Transactions!$H$2:$H$114,MATCH(A106,Transactions!$A$2:$A$114,0)),"")</f>
        <v>Brightline Retail Holdings Inc</v>
      </c>
      <c r="I106" s="27"/>
    </row>
    <row r="107" customFormat="false" ht="15" hidden="false" customHeight="false" outlineLevel="0" collapsed="false">
      <c r="A107" s="27" t="s">
        <v>440</v>
      </c>
      <c r="B107" s="29" t="n">
        <f aca="false">IFERROR(INDEX(Transactions!$E$2:$E$114,MATCH(A107,Transactions!$A$2:$A$114,0)),"")</f>
        <v>53400</v>
      </c>
      <c r="C107" s="29" t="n">
        <f aca="false">IFERROR(INDEX(Src_BankStatement!$C$2:$C$114,MATCH(A107,Src_BankStatement!$A$2:$A$114,0)),"")</f>
        <v>53400</v>
      </c>
      <c r="D107" s="27" t="n">
        <f aca="false">COUNTIF(Src_BankStatement!$A$2:$A$114,A107)</f>
        <v>1</v>
      </c>
      <c r="E107" s="27" t="str">
        <f aca="false">IF(AND(B107="",C107=""),"",IF(B107="","Missing in Ledger",IF(C107="","Missing in Statement",IF(D107&gt;1,"Duplicate in Statement",IF(ABS(B107-C107)&gt;0.005,"Amount Break","Matched")))))</f>
        <v>Matched</v>
      </c>
      <c r="F107" s="29" t="n">
        <f aca="false">IF(AND(ISNUMBER(B107),ISNUMBER(C107)),ROUND(B107-C107,2),"")</f>
        <v>0</v>
      </c>
      <c r="G107" s="29" t="n">
        <f aca="false">IF(E107="Amount Break",B107-C107,IF(E107="Missing in Statement",B107,IF(E107="Missing in Ledger",-C107,IF(E107="Duplicate in Statement",-C107*(D107-1),0))))</f>
        <v>0</v>
      </c>
      <c r="H107" s="27" t="str">
        <f aca="false">IFERROR(INDEX(Transactions!$H$2:$H$114,MATCH(A107,Transactions!$A$2:$A$114,0)),"")</f>
        <v>Rhine Valley Pharma GmbH</v>
      </c>
      <c r="I107" s="27"/>
    </row>
    <row r="108" customFormat="false" ht="15" hidden="false" customHeight="false" outlineLevel="0" collapsed="false">
      <c r="A108" s="27" t="s">
        <v>441</v>
      </c>
      <c r="B108" s="29" t="n">
        <f aca="false">IFERROR(INDEX(Transactions!$E$2:$E$114,MATCH(A108,Transactions!$A$2:$A$114,0)),"")</f>
        <v>13600</v>
      </c>
      <c r="C108" s="29" t="n">
        <f aca="false">IFERROR(INDEX(Src_BankStatement!$C$2:$C$114,MATCH(A108,Src_BankStatement!$A$2:$A$114,0)),"")</f>
        <v>13600</v>
      </c>
      <c r="D108" s="27" t="n">
        <f aca="false">COUNTIF(Src_BankStatement!$A$2:$A$114,A108)</f>
        <v>1</v>
      </c>
      <c r="E108" s="27" t="str">
        <f aca="false">IF(AND(B108="",C108=""),"",IF(B108="","Missing in Ledger",IF(C108="","Missing in Statement",IF(D108&gt;1,"Duplicate in Statement",IF(ABS(B108-C108)&gt;0.005,"Amount Break","Matched")))))</f>
        <v>Matched</v>
      </c>
      <c r="F108" s="29" t="n">
        <f aca="false">IF(AND(ISNUMBER(B108),ISNUMBER(C108)),ROUND(B108-C108,2),"")</f>
        <v>0</v>
      </c>
      <c r="G108" s="29" t="n">
        <f aca="false">IF(E108="Amount Break",B108-C108,IF(E108="Missing in Statement",B108,IF(E108="Missing in Ledger",-C108,IF(E108="Duplicate in Statement",-C108*(D108-1),0))))</f>
        <v>0</v>
      </c>
      <c r="H108" s="27" t="str">
        <f aca="false">IFERROR(INDEX(Transactions!$H$2:$H$114,MATCH(A108,Transactions!$A$2:$A$114,0)),"")</f>
        <v>Kestrel Engineering Services Pte Ltd</v>
      </c>
      <c r="I108" s="27"/>
    </row>
    <row r="109" customFormat="false" ht="15" hidden="false" customHeight="false" outlineLevel="0" collapsed="false">
      <c r="A109" s="27" t="s">
        <v>442</v>
      </c>
      <c r="B109" s="29" t="n">
        <f aca="false">IFERROR(INDEX(Transactions!$E$2:$E$114,MATCH(A109,Transactions!$A$2:$A$114,0)),"")</f>
        <v>31800</v>
      </c>
      <c r="C109" s="29" t="n">
        <f aca="false">IFERROR(INDEX(Src_BankStatement!$C$2:$C$114,MATCH(A109,Src_BankStatement!$A$2:$A$114,0)),"")</f>
        <v>31800</v>
      </c>
      <c r="D109" s="27" t="n">
        <f aca="false">COUNTIF(Src_BankStatement!$A$2:$A$114,A109)</f>
        <v>1</v>
      </c>
      <c r="E109" s="27" t="str">
        <f aca="false">IF(AND(B109="",C109=""),"",IF(B109="","Missing in Ledger",IF(C109="","Missing in Statement",IF(D109&gt;1,"Duplicate in Statement",IF(ABS(B109-C109)&gt;0.005,"Amount Break","Matched")))))</f>
        <v>Matched</v>
      </c>
      <c r="F109" s="29" t="n">
        <f aca="false">IF(AND(ISNUMBER(B109),ISNUMBER(C109)),ROUND(B109-C109,2),"")</f>
        <v>0</v>
      </c>
      <c r="G109" s="29" t="n">
        <f aca="false">IF(E109="Amount Break",B109-C109,IF(E109="Missing in Statement",B109,IF(E109="Missing in Ledger",-C109,IF(E109="Duplicate in Statement",-C109*(D109-1),0))))</f>
        <v>0</v>
      </c>
      <c r="H109" s="27" t="str">
        <f aca="false">IFERROR(INDEX(Transactions!$H$2:$H$114,MATCH(A109,Transactions!$A$2:$A$114,0)),"")</f>
        <v>Crescent Remit Services LLP</v>
      </c>
      <c r="I109" s="27"/>
    </row>
    <row r="110" customFormat="false" ht="15" hidden="false" customHeight="false" outlineLevel="0" collapsed="false">
      <c r="A110" s="27" t="s">
        <v>443</v>
      </c>
      <c r="B110" s="29" t="n">
        <f aca="false">IFERROR(INDEX(Transactions!$E$2:$E$114,MATCH(A110,Transactions!$A$2:$A$114,0)),"")</f>
        <v>56900</v>
      </c>
      <c r="C110" s="29" t="n">
        <f aca="false">IFERROR(INDEX(Src_BankStatement!$C$2:$C$114,MATCH(A110,Src_BankStatement!$A$2:$A$114,0)),"")</f>
        <v>56900</v>
      </c>
      <c r="D110" s="27" t="n">
        <f aca="false">COUNTIF(Src_BankStatement!$A$2:$A$114,A110)</f>
        <v>1</v>
      </c>
      <c r="E110" s="27" t="str">
        <f aca="false">IF(AND(B110="",C110=""),"",IF(B110="","Missing in Ledger",IF(C110="","Missing in Statement",IF(D110&gt;1,"Duplicate in Statement",IF(ABS(B110-C110)&gt;0.005,"Amount Break","Matched")))))</f>
        <v>Matched</v>
      </c>
      <c r="F110" s="29" t="n">
        <f aca="false">IF(AND(ISNUMBER(B110),ISNUMBER(C110)),ROUND(B110-C110,2),"")</f>
        <v>0</v>
      </c>
      <c r="G110" s="29" t="n">
        <f aca="false">IF(E110="Amount Break",B110-C110,IF(E110="Missing in Statement",B110,IF(E110="Missing in Ledger",-C110,IF(E110="Duplicate in Statement",-C110*(D110-1),0))))</f>
        <v>0</v>
      </c>
      <c r="H110" s="27" t="str">
        <f aca="false">IFERROR(INDEX(Transactions!$H$2:$H$114,MATCH(A110,Transactions!$A$2:$A$114,0)),"")</f>
        <v>Alpine Logistics AG</v>
      </c>
      <c r="I110" s="27"/>
    </row>
    <row r="111" customFormat="false" ht="15" hidden="false" customHeight="false" outlineLevel="0" collapsed="false">
      <c r="A111" s="27" t="s">
        <v>444</v>
      </c>
      <c r="B111" s="29" t="n">
        <f aca="false">IFERROR(INDEX(Transactions!$E$2:$E$114,MATCH(A111,Transactions!$A$2:$A$114,0)),"")</f>
        <v>76400</v>
      </c>
      <c r="C111" s="29" t="n">
        <f aca="false">IFERROR(INDEX(Src_BankStatement!$C$2:$C$114,MATCH(A111,Src_BankStatement!$A$2:$A$114,0)),"")</f>
        <v>76400</v>
      </c>
      <c r="D111" s="27" t="n">
        <f aca="false">COUNTIF(Src_BankStatement!$A$2:$A$114,A111)</f>
        <v>1</v>
      </c>
      <c r="E111" s="27" t="str">
        <f aca="false">IF(AND(B111="",C111=""),"",IF(B111="","Missing in Ledger",IF(C111="","Missing in Statement",IF(D111&gt;1,"Duplicate in Statement",IF(ABS(B111-C111)&gt;0.005,"Amount Break","Matched")))))</f>
        <v>Matched</v>
      </c>
      <c r="F111" s="29" t="n">
        <f aca="false">IF(AND(ISNUMBER(B111),ISNUMBER(C111)),ROUND(B111-C111,2),"")</f>
        <v>0</v>
      </c>
      <c r="G111" s="29" t="n">
        <f aca="false">IF(E111="Amount Break",B111-C111,IF(E111="Missing in Statement",B111,IF(E111="Missing in Ledger",-C111,IF(E111="Duplicate in Statement",-C111*(D111-1),0))))</f>
        <v>0</v>
      </c>
      <c r="H111" s="27" t="str">
        <f aca="false">IFERROR(INDEX(Transactions!$H$2:$H$114,MATCH(A111,Transactions!$A$2:$A$114,0)),"")</f>
        <v>Lakeview Medical Supplies Inc</v>
      </c>
      <c r="I111" s="27"/>
    </row>
    <row r="112" customFormat="false" ht="15" hidden="false" customHeight="false" outlineLevel="0" collapsed="false">
      <c r="A112" s="27" t="s">
        <v>445</v>
      </c>
      <c r="B112" s="29" t="n">
        <f aca="false">IFERROR(INDEX(Transactions!$E$2:$E$114,MATCH(A112,Transactions!$A$2:$A$114,0)),"")</f>
        <v>12200</v>
      </c>
      <c r="C112" s="29" t="n">
        <f aca="false">IFERROR(INDEX(Src_BankStatement!$C$2:$C$114,MATCH(A112,Src_BankStatement!$A$2:$A$114,0)),"")</f>
        <v>12200</v>
      </c>
      <c r="D112" s="27" t="n">
        <f aca="false">COUNTIF(Src_BankStatement!$A$2:$A$114,A112)</f>
        <v>1</v>
      </c>
      <c r="E112" s="27" t="str">
        <f aca="false">IF(AND(B112="",C112=""),"",IF(B112="","Missing in Ledger",IF(C112="","Missing in Statement",IF(D112&gt;1,"Duplicate in Statement",IF(ABS(B112-C112)&gt;0.005,"Amount Break","Matched")))))</f>
        <v>Matched</v>
      </c>
      <c r="F112" s="29" t="n">
        <f aca="false">IF(AND(ISNUMBER(B112),ISNUMBER(C112)),ROUND(B112-C112,2),"")</f>
        <v>0</v>
      </c>
      <c r="G112" s="29" t="n">
        <f aca="false">IF(E112="Amount Break",B112-C112,IF(E112="Missing in Statement",B112,IF(E112="Missing in Ledger",-C112,IF(E112="Duplicate in Statement",-C112*(D112-1),0))))</f>
        <v>0</v>
      </c>
      <c r="H112" s="27" t="str">
        <f aca="false">IFERROR(INDEX(Transactions!$H$2:$H$114,MATCH(A112,Transactions!$A$2:$A$114,0)),"")</f>
        <v>Harbour Point Trading Co</v>
      </c>
      <c r="I112" s="27"/>
    </row>
    <row r="113" customFormat="false" ht="15" hidden="false" customHeight="false" outlineLevel="0" collapsed="false">
      <c r="A113" s="27" t="s">
        <v>446</v>
      </c>
      <c r="B113" s="29" t="n">
        <f aca="false">IFERROR(INDEX(Transactions!$E$2:$E$114,MATCH(A113,Transactions!$A$2:$A$114,0)),"")</f>
        <v>62700</v>
      </c>
      <c r="C113" s="29" t="n">
        <f aca="false">IFERROR(INDEX(Src_BankStatement!$C$2:$C$114,MATCH(A113,Src_BankStatement!$A$2:$A$114,0)),"")</f>
        <v>62700</v>
      </c>
      <c r="D113" s="27" t="n">
        <f aca="false">COUNTIF(Src_BankStatement!$A$2:$A$114,A113)</f>
        <v>1</v>
      </c>
      <c r="E113" s="27" t="str">
        <f aca="false">IF(AND(B113="",C113=""),"",IF(B113="","Missing in Ledger",IF(C113="","Missing in Statement",IF(D113&gt;1,"Duplicate in Statement",IF(ABS(B113-C113)&gt;0.005,"Amount Break","Matched")))))</f>
        <v>Matched</v>
      </c>
      <c r="F113" s="29" t="n">
        <f aca="false">IF(AND(ISNUMBER(B113),ISNUMBER(C113)),ROUND(B113-C113,2),"")</f>
        <v>0</v>
      </c>
      <c r="G113" s="29" t="n">
        <f aca="false">IF(E113="Amount Break",B113-C113,IF(E113="Missing in Statement",B113,IF(E113="Missing in Ledger",-C113,IF(E113="Duplicate in Statement",-C113*(D113-1),0))))</f>
        <v>0</v>
      </c>
      <c r="H113" s="27" t="str">
        <f aca="false">IFERROR(INDEX(Transactions!$H$2:$H$114,MATCH(A113,Transactions!$A$2:$A$114,0)),"")</f>
        <v>Sakura Electronics KK</v>
      </c>
      <c r="I113" s="27"/>
    </row>
    <row r="114" customFormat="false" ht="15" hidden="false" customHeight="false" outlineLevel="0" collapsed="false">
      <c r="A114" s="27" t="s">
        <v>447</v>
      </c>
      <c r="B114" s="29" t="n">
        <f aca="false">IFERROR(INDEX(Transactions!$E$2:$E$114,MATCH(A114,Transactions!$A$2:$A$114,0)),"")</f>
        <v>41200</v>
      </c>
      <c r="C114" s="29" t="n">
        <f aca="false">IFERROR(INDEX(Src_BankStatement!$C$2:$C$114,MATCH(A114,Src_BankStatement!$A$2:$A$114,0)),"")</f>
        <v>41200</v>
      </c>
      <c r="D114" s="27" t="n">
        <f aca="false">COUNTIF(Src_BankStatement!$A$2:$A$114,A114)</f>
        <v>1</v>
      </c>
      <c r="E114" s="27" t="str">
        <f aca="false">IF(AND(B114="",C114=""),"",IF(B114="","Missing in Ledger",IF(C114="","Missing in Statement",IF(D114&gt;1,"Duplicate in Statement",IF(ABS(B114-C114)&gt;0.005,"Amount Break","Matched")))))</f>
        <v>Matched</v>
      </c>
      <c r="F114" s="29" t="n">
        <f aca="false">IF(AND(ISNUMBER(B114),ISNUMBER(C114)),ROUND(B114-C114,2),"")</f>
        <v>0</v>
      </c>
      <c r="G114" s="29" t="n">
        <f aca="false">IF(E114="Amount Break",B114-C114,IF(E114="Missing in Statement",B114,IF(E114="Missing in Ledger",-C114,IF(E114="Duplicate in Statement",-C114*(D114-1),0))))</f>
        <v>0</v>
      </c>
      <c r="H114" s="27" t="str">
        <f aca="false">IFERROR(INDEX(Transactions!$H$2:$H$114,MATCH(A114,Transactions!$A$2:$A$114,0)),"")</f>
        <v>Palm Bay Casino Resorts</v>
      </c>
      <c r="I114" s="27"/>
    </row>
    <row r="115" customFormat="false" ht="15" hidden="false" customHeight="false" outlineLevel="0" collapsed="false">
      <c r="A115" s="27" t="s">
        <v>572</v>
      </c>
      <c r="B115" s="29" t="str">
        <f aca="false">IFERROR(INDEX(Transactions!$E$2:$E$114,MATCH(A115,Transactions!$A$2:$A$114,0)),"")</f>
        <v/>
      </c>
      <c r="C115" s="29" t="n">
        <f aca="false">IFERROR(INDEX(Src_BankStatement!$C$2:$C$114,MATCH(A115,Src_BankStatement!$A$2:$A$114,0)),"")</f>
        <v>3200</v>
      </c>
      <c r="D115" s="27" t="n">
        <f aca="false">COUNTIF(Src_BankStatement!$A$2:$A$114,A115)</f>
        <v>1</v>
      </c>
      <c r="E115" s="27" t="str">
        <f aca="false">IF(AND(B115="",C115=""),"",IF(B115="","Missing in Ledger",IF(C115="","Missing in Statement",IF(D115&gt;1,"Duplicate in Statement",IF(ABS(B115-C115)&gt;0.005,"Amount Break","Matched")))))</f>
        <v>Missing in Ledger</v>
      </c>
      <c r="F115" s="29" t="str">
        <f aca="false">IF(AND(ISNUMBER(B115),ISNUMBER(C115)),ROUND(B115-C115,2),"")</f>
        <v/>
      </c>
      <c r="G115" s="29" t="n">
        <f aca="false">IF(E115="Amount Break",B115-C115,IF(E115="Missing in Statement",B115,IF(E115="Missing in Ledger",-C115,IF(E115="Duplicate in Statement",-C115*(D115-1),0))))</f>
        <v>-3200</v>
      </c>
      <c r="H115" s="27" t="str">
        <f aca="false">IFERROR(INDEX(Transactions!$H$2:$H$114,MATCH(A115,Transactions!$A$2:$A$114,0)),"")</f>
        <v/>
      </c>
      <c r="I115" s="27" t="s">
        <v>606</v>
      </c>
    </row>
  </sheetData>
  <autoFilter ref="A1:I115"/>
  <conditionalFormatting sqref="E2:E115">
    <cfRule type="expression" priority="2" aboveAverage="0" equalAverage="0" bottom="0" percent="0" rank="0" text="" dxfId="12">
      <formula>ISNUMBER(SEARCH("Break",E2))</formula>
    </cfRule>
    <cfRule type="expression" priority="3" aboveAverage="0" equalAverage="0" bottom="0" percent="0" rank="0" text="" dxfId="12">
      <formula>ISNUMBER(SEARCH("Missing",E2))</formula>
    </cfRule>
    <cfRule type="expression" priority="4" aboveAverage="0" equalAverage="0" bottom="0" percent="0" rank="0" text="" dxfId="10">
      <formula>ISNUMBER(SEARCH("Duplicate",E2))</formula>
    </cfRule>
    <cfRule type="expression" priority="5" aboveAverage="0" equalAverage="0" bottom="0" percent="0" rank="0" text="" dxfId="11">
      <formula>ISNUMBER(SEARCH("Matched",E2))</formula>
    </cfRule>
  </conditionalFormatting>
  <conditionalFormatting sqref="L7">
    <cfRule type="expression" priority="6" aboveAverage="0" equalAverage="0" bottom="0" percent="0" rank="0" text="" dxfId="11">
      <formula>ISNUMBER(SEARCH("FULLY",L7))</formula>
    </cfRule>
    <cfRule type="expression" priority="7" aboveAverage="0" equalAverage="0" bottom="0" percent="0" rank="0" text="" dxfId="12">
      <formula>ISNUMBER(SEARCH("UNEXPLAINED",L7))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60"/>
  </cols>
  <sheetData>
    <row r="1" customFormat="false" ht="42" hidden="false" customHeight="true" outlineLevel="0" collapsed="false">
      <c r="A1" s="25" t="s">
        <v>607</v>
      </c>
      <c r="B1" s="25" t="s">
        <v>189</v>
      </c>
      <c r="C1" s="26" t="s">
        <v>306</v>
      </c>
      <c r="D1" s="25" t="s">
        <v>608</v>
      </c>
      <c r="E1" s="25" t="s">
        <v>609</v>
      </c>
      <c r="F1" s="25" t="s">
        <v>610</v>
      </c>
      <c r="G1" s="25" t="s">
        <v>611</v>
      </c>
      <c r="H1" s="25" t="s">
        <v>612</v>
      </c>
      <c r="I1" s="25" t="s">
        <v>613</v>
      </c>
      <c r="J1" s="25" t="s">
        <v>614</v>
      </c>
      <c r="K1" s="26" t="s">
        <v>519</v>
      </c>
      <c r="L1" s="26" t="s">
        <v>520</v>
      </c>
      <c r="M1" s="26" t="s">
        <v>147</v>
      </c>
      <c r="N1" s="26" t="s">
        <v>521</v>
      </c>
      <c r="O1" s="25" t="s">
        <v>615</v>
      </c>
    </row>
    <row r="2" customFormat="false" ht="48" hidden="false" customHeight="true" outlineLevel="0" collapsed="false">
      <c r="A2" s="34" t="s">
        <v>616</v>
      </c>
      <c r="B2" s="34" t="s">
        <v>223</v>
      </c>
      <c r="C2" s="32" t="str">
        <f aca="false">IFERROR(INDEX(Client_Master!$B$2:$B$41,MATCH(B2,Client_Master!$A$2:$A$41,0)),"UNKNOWN CLIENT")</f>
        <v>Lotus Healthcare Systems Ltd</v>
      </c>
      <c r="D2" s="32" t="s">
        <v>617</v>
      </c>
      <c r="E2" s="32" t="s">
        <v>618</v>
      </c>
      <c r="F2" s="32" t="s">
        <v>619</v>
      </c>
      <c r="G2" s="34" t="s">
        <v>72</v>
      </c>
      <c r="H2" s="35" t="n">
        <v>46314</v>
      </c>
      <c r="I2" s="35" t="n">
        <v>46318</v>
      </c>
      <c r="J2" s="34" t="s">
        <v>620</v>
      </c>
      <c r="K2" s="34" t="str">
        <f aca="false">IF(ISNUMBER(I2),"Closed","Open")</f>
        <v>Closed</v>
      </c>
      <c r="L2" s="34" t="n">
        <f aca="false">NETWORKDAYS(H2,IF(ISNUMBER(I2),I2,Assumptions!$B$4))-1</f>
        <v>4</v>
      </c>
      <c r="M2" s="34" t="n">
        <f aca="false">INDEX(Assumptions!$O$22:$O$24,MATCH(G2,Assumptions!$N$22:$N$24,0))</f>
        <v>5</v>
      </c>
      <c r="N2" s="34" t="str">
        <f aca="false">IF(L2&gt;M2,"SLA Breached","Within SLA")</f>
        <v>Within SLA</v>
      </c>
      <c r="O2" s="32" t="s">
        <v>621</v>
      </c>
    </row>
    <row r="3" customFormat="false" ht="48" hidden="false" customHeight="true" outlineLevel="0" collapsed="false">
      <c r="A3" s="34" t="s">
        <v>622</v>
      </c>
      <c r="B3" s="34" t="s">
        <v>237</v>
      </c>
      <c r="C3" s="32" t="str">
        <f aca="false">IFERROR(INDEX(Client_Master!$B$2:$B$41,MATCH(B3,Client_Master!$A$2:$A$41,0)),"UNKNOWN CLIENT")</f>
        <v>Harbour Point Trading Co</v>
      </c>
      <c r="D3" s="32" t="s">
        <v>623</v>
      </c>
      <c r="E3" s="32" t="s">
        <v>624</v>
      </c>
      <c r="F3" s="32" t="s">
        <v>625</v>
      </c>
      <c r="G3" s="34" t="s">
        <v>71</v>
      </c>
      <c r="H3" s="35" t="n">
        <v>46314</v>
      </c>
      <c r="I3" s="35"/>
      <c r="J3" s="34" t="s">
        <v>620</v>
      </c>
      <c r="K3" s="34" t="str">
        <f aca="false">IF(ISNUMBER(I3),"Closed","Open")</f>
        <v>Open</v>
      </c>
      <c r="L3" s="34" t="n">
        <f aca="false">NETWORKDAYS(H3,IF(ISNUMBER(I3),I3,Assumptions!$B$4))-1</f>
        <v>5</v>
      </c>
      <c r="M3" s="34" t="n">
        <f aca="false">INDEX(Assumptions!$O$22:$O$24,MATCH(G3,Assumptions!$N$22:$N$24,0))</f>
        <v>2</v>
      </c>
      <c r="N3" s="34" t="str">
        <f aca="false">IF(L3&gt;M3,"SLA Breached","Within SLA")</f>
        <v>SLA Breached</v>
      </c>
      <c r="O3" s="32" t="s">
        <v>626</v>
      </c>
    </row>
    <row r="4" customFormat="false" ht="48" hidden="false" customHeight="true" outlineLevel="0" collapsed="false">
      <c r="A4" s="34" t="s">
        <v>627</v>
      </c>
      <c r="B4" s="34" t="s">
        <v>245</v>
      </c>
      <c r="C4" s="32" t="str">
        <f aca="false">IFERROR(INDEX(Client_Master!$B$2:$B$41,MATCH(B4,Client_Master!$A$2:$A$41,0)),"UNKNOWN CLIENT")</f>
        <v>Maple Leaf Health Clinics Inc</v>
      </c>
      <c r="D4" s="32" t="s">
        <v>628</v>
      </c>
      <c r="E4" s="32" t="s">
        <v>629</v>
      </c>
      <c r="F4" s="32" t="s">
        <v>630</v>
      </c>
      <c r="G4" s="34" t="s">
        <v>72</v>
      </c>
      <c r="H4" s="35" t="n">
        <v>46314</v>
      </c>
      <c r="I4" s="35" t="n">
        <v>46317</v>
      </c>
      <c r="J4" s="34" t="s">
        <v>631</v>
      </c>
      <c r="K4" s="34" t="str">
        <f aca="false">IF(ISNUMBER(I4),"Closed","Open")</f>
        <v>Closed</v>
      </c>
      <c r="L4" s="34" t="n">
        <f aca="false">NETWORKDAYS(H4,IF(ISNUMBER(I4),I4,Assumptions!$B$4))-1</f>
        <v>3</v>
      </c>
      <c r="M4" s="34" t="n">
        <f aca="false">INDEX(Assumptions!$O$22:$O$24,MATCH(G4,Assumptions!$N$22:$N$24,0))</f>
        <v>5</v>
      </c>
      <c r="N4" s="34" t="str">
        <f aca="false">IF(L4&gt;M4,"SLA Breached","Within SLA")</f>
        <v>Within SLA</v>
      </c>
      <c r="O4" s="32" t="s">
        <v>632</v>
      </c>
    </row>
    <row r="5" customFormat="false" ht="48" hidden="false" customHeight="true" outlineLevel="0" collapsed="false">
      <c r="A5" s="34" t="s">
        <v>633</v>
      </c>
      <c r="B5" s="34" t="s">
        <v>251</v>
      </c>
      <c r="C5" s="32" t="str">
        <f aca="false">IFERROR(INDEX(Client_Master!$B$2:$B$41,MATCH(B5,Client_Master!$A$2:$A$41,0)),"UNKNOWN CLIENT")</f>
        <v>Evergreen Charitable Foundation</v>
      </c>
      <c r="D5" s="32" t="s">
        <v>634</v>
      </c>
      <c r="E5" s="32" t="s">
        <v>635</v>
      </c>
      <c r="F5" s="32" t="s">
        <v>636</v>
      </c>
      <c r="G5" s="34" t="s">
        <v>71</v>
      </c>
      <c r="H5" s="35" t="n">
        <v>46317</v>
      </c>
      <c r="I5" s="35"/>
      <c r="J5" s="34" t="s">
        <v>637</v>
      </c>
      <c r="K5" s="34" t="str">
        <f aca="false">IF(ISNUMBER(I5),"Closed","Open")</f>
        <v>Open</v>
      </c>
      <c r="L5" s="34" t="n">
        <f aca="false">NETWORKDAYS(H5,IF(ISNUMBER(I5),I5,Assumptions!$B$4))-1</f>
        <v>2</v>
      </c>
      <c r="M5" s="34" t="n">
        <f aca="false">INDEX(Assumptions!$O$22:$O$24,MATCH(G5,Assumptions!$N$22:$N$24,0))</f>
        <v>2</v>
      </c>
      <c r="N5" s="34" t="str">
        <f aca="false">IF(L5&gt;M5,"SLA Breached","Within SLA")</f>
        <v>Within SLA</v>
      </c>
      <c r="O5" s="32" t="s">
        <v>638</v>
      </c>
    </row>
    <row r="6" customFormat="false" ht="48" hidden="false" customHeight="true" outlineLevel="0" collapsed="false">
      <c r="A6" s="34" t="s">
        <v>639</v>
      </c>
      <c r="B6" s="34" t="s">
        <v>265</v>
      </c>
      <c r="C6" s="32" t="str">
        <f aca="false">IFERROR(INDEX(Client_Master!$B$2:$B$41,MATCH(B6,Client_Master!$A$2:$A$41,0)),"UNKNOWN CLIENT")</f>
        <v>Sunrise Auto Traders LLC</v>
      </c>
      <c r="D6" s="32" t="s">
        <v>634</v>
      </c>
      <c r="E6" s="32" t="s">
        <v>640</v>
      </c>
      <c r="F6" s="32" t="s">
        <v>641</v>
      </c>
      <c r="G6" s="34" t="s">
        <v>72</v>
      </c>
      <c r="H6" s="35" t="n">
        <v>46300</v>
      </c>
      <c r="I6" s="35"/>
      <c r="J6" s="34" t="s">
        <v>637</v>
      </c>
      <c r="K6" s="34" t="str">
        <f aca="false">IF(ISNUMBER(I6),"Closed","Open")</f>
        <v>Open</v>
      </c>
      <c r="L6" s="34" t="n">
        <f aca="false">NETWORKDAYS(H6,IF(ISNUMBER(I6),I6,Assumptions!$B$4))-1</f>
        <v>15</v>
      </c>
      <c r="M6" s="34" t="n">
        <f aca="false">INDEX(Assumptions!$O$22:$O$24,MATCH(G6,Assumptions!$N$22:$N$24,0))</f>
        <v>5</v>
      </c>
      <c r="N6" s="34" t="str">
        <f aca="false">IF(L6&gt;M6,"SLA Breached","Within SLA")</f>
        <v>SLA Breached</v>
      </c>
      <c r="O6" s="32" t="s">
        <v>642</v>
      </c>
    </row>
    <row r="7" customFormat="false" ht="48" hidden="false" customHeight="true" outlineLevel="0" collapsed="false">
      <c r="A7" s="34" t="s">
        <v>643</v>
      </c>
      <c r="B7" s="34" t="s">
        <v>282</v>
      </c>
      <c r="C7" s="32" t="str">
        <f aca="false">IFERROR(INDEX(Client_Master!$B$2:$B$41,MATCH(B7,Client_Master!$A$2:$A$41,0)),"UNKNOWN CLIENT")</f>
        <v>Lakeview Medical Supplies Inc</v>
      </c>
      <c r="D7" s="32" t="s">
        <v>634</v>
      </c>
      <c r="E7" s="32" t="s">
        <v>644</v>
      </c>
      <c r="F7" s="32" t="s">
        <v>645</v>
      </c>
      <c r="G7" s="34" t="s">
        <v>73</v>
      </c>
      <c r="H7" s="35" t="n">
        <v>46309</v>
      </c>
      <c r="I7" s="35"/>
      <c r="J7" s="34" t="s">
        <v>637</v>
      </c>
      <c r="K7" s="34" t="str">
        <f aca="false">IF(ISNUMBER(I7),"Closed","Open")</f>
        <v>Open</v>
      </c>
      <c r="L7" s="34" t="n">
        <f aca="false">NETWORKDAYS(H7,IF(ISNUMBER(I7),I7,Assumptions!$B$4))-1</f>
        <v>8</v>
      </c>
      <c r="M7" s="34" t="n">
        <f aca="false">INDEX(Assumptions!$O$22:$O$24,MATCH(G7,Assumptions!$N$22:$N$24,0))</f>
        <v>10</v>
      </c>
      <c r="N7" s="34" t="str">
        <f aca="false">IF(L7&gt;M7,"SLA Breached","Within SLA")</f>
        <v>Within SLA</v>
      </c>
      <c r="O7" s="32" t="s">
        <v>646</v>
      </c>
    </row>
    <row r="8" customFormat="false" ht="48" hidden="false" customHeight="true" outlineLevel="0" collapsed="false">
      <c r="A8" s="34" t="s">
        <v>647</v>
      </c>
      <c r="B8" s="34" t="s">
        <v>293</v>
      </c>
      <c r="C8" s="32" t="str">
        <f aca="false">IFERROR(INDEX(Client_Master!$B$2:$B$41,MATCH(B8,Client_Master!$A$2:$A$41,0)),"UNKNOWN CLIENT")</f>
        <v>Zenith Wellness Clinics Pvt Ltd</v>
      </c>
      <c r="D8" s="32" t="s">
        <v>634</v>
      </c>
      <c r="E8" s="32" t="s">
        <v>648</v>
      </c>
      <c r="F8" s="32" t="s">
        <v>649</v>
      </c>
      <c r="G8" s="34" t="s">
        <v>71</v>
      </c>
      <c r="H8" s="35" t="n">
        <v>46314</v>
      </c>
      <c r="I8" s="35"/>
      <c r="J8" s="34" t="s">
        <v>637</v>
      </c>
      <c r="K8" s="34" t="str">
        <f aca="false">IF(ISNUMBER(I8),"Closed","Open")</f>
        <v>Open</v>
      </c>
      <c r="L8" s="34" t="n">
        <f aca="false">NETWORKDAYS(H8,IF(ISNUMBER(I8),I8,Assumptions!$B$4))-1</f>
        <v>5</v>
      </c>
      <c r="M8" s="34" t="n">
        <f aca="false">INDEX(Assumptions!$O$22:$O$24,MATCH(G8,Assumptions!$N$22:$N$24,0))</f>
        <v>2</v>
      </c>
      <c r="N8" s="34" t="str">
        <f aca="false">IF(L8&gt;M8,"SLA Breached","Within SLA")</f>
        <v>SLA Breached</v>
      </c>
      <c r="O8" s="32" t="s">
        <v>650</v>
      </c>
    </row>
    <row r="9" customFormat="false" ht="48" hidden="false" customHeight="true" outlineLevel="0" collapsed="false">
      <c r="A9" s="34" t="s">
        <v>651</v>
      </c>
      <c r="B9" s="34" t="s">
        <v>241</v>
      </c>
      <c r="C9" s="32" t="str">
        <f aca="false">IFERROR(INDEX(Client_Master!$B$2:$B$41,MATCH(B9,Client_Master!$A$2:$A$41,0)),"UNKNOWN CLIENT")</f>
        <v>Brightline Retail Holdings Inc</v>
      </c>
      <c r="D9" s="32" t="s">
        <v>652</v>
      </c>
      <c r="E9" s="32" t="s">
        <v>653</v>
      </c>
      <c r="F9" s="32" t="s">
        <v>654</v>
      </c>
      <c r="G9" s="34" t="s">
        <v>73</v>
      </c>
      <c r="H9" s="35" t="n">
        <v>46316</v>
      </c>
      <c r="I9" s="35" t="n">
        <v>46317</v>
      </c>
      <c r="J9" s="34" t="s">
        <v>655</v>
      </c>
      <c r="K9" s="34" t="str">
        <f aca="false">IF(ISNUMBER(I9),"Closed","Open")</f>
        <v>Closed</v>
      </c>
      <c r="L9" s="34" t="n">
        <f aca="false">NETWORKDAYS(H9,IF(ISNUMBER(I9),I9,Assumptions!$B$4))-1</f>
        <v>1</v>
      </c>
      <c r="M9" s="34" t="n">
        <f aca="false">INDEX(Assumptions!$O$22:$O$24,MATCH(G9,Assumptions!$N$22:$N$24,0))</f>
        <v>10</v>
      </c>
      <c r="N9" s="34" t="str">
        <f aca="false">IF(L9&gt;M9,"SLA Breached","Within SLA")</f>
        <v>Within SLA</v>
      </c>
      <c r="O9" s="32" t="s">
        <v>656</v>
      </c>
    </row>
    <row r="10" customFormat="false" ht="48" hidden="false" customHeight="true" outlineLevel="0" collapsed="false">
      <c r="A10" s="34" t="s">
        <v>657</v>
      </c>
      <c r="B10" s="34" t="s">
        <v>284</v>
      </c>
      <c r="C10" s="32" t="str">
        <f aca="false">IFERROR(INDEX(Client_Master!$B$2:$B$41,MATCH(B10,Client_Master!$A$2:$A$41,0)),"UNKNOWN CLIENT")</f>
        <v>Skyline Hospitality Group Ltd</v>
      </c>
      <c r="D10" s="32" t="s">
        <v>658</v>
      </c>
      <c r="E10" s="32" t="s">
        <v>659</v>
      </c>
      <c r="F10" s="32" t="s">
        <v>660</v>
      </c>
      <c r="G10" s="34" t="s">
        <v>72</v>
      </c>
      <c r="H10" s="35" t="n">
        <v>46314</v>
      </c>
      <c r="I10" s="35"/>
      <c r="J10" s="34" t="s">
        <v>620</v>
      </c>
      <c r="K10" s="34" t="str">
        <f aca="false">IF(ISNUMBER(I10),"Closed","Open")</f>
        <v>Open</v>
      </c>
      <c r="L10" s="34" t="n">
        <f aca="false">NETWORKDAYS(H10,IF(ISNUMBER(I10),I10,Assumptions!$B$4))-1</f>
        <v>5</v>
      </c>
      <c r="M10" s="34" t="n">
        <f aca="false">INDEX(Assumptions!$O$22:$O$24,MATCH(G10,Assumptions!$N$22:$N$24,0))</f>
        <v>5</v>
      </c>
      <c r="N10" s="34" t="str">
        <f aca="false">IF(L10&gt;M10,"SLA Breached","Within SLA")</f>
        <v>Within SLA</v>
      </c>
      <c r="O10" s="32" t="s">
        <v>661</v>
      </c>
    </row>
    <row r="11" customFormat="false" ht="48" hidden="false" customHeight="true" outlineLevel="0" collapsed="false">
      <c r="A11" s="34" t="s">
        <v>662</v>
      </c>
      <c r="B11" s="34" t="s">
        <v>259</v>
      </c>
      <c r="C11" s="32" t="str">
        <f aca="false">IFERROR(INDEX(Client_Master!$B$2:$B$41,MATCH(B11,Client_Master!$A$2:$A$41,0)),"UNKNOWN CLIENT")</f>
        <v>Kestrel Engineering Services Pte Ltd</v>
      </c>
      <c r="D11" s="32" t="s">
        <v>634</v>
      </c>
      <c r="E11" s="32" t="s">
        <v>663</v>
      </c>
      <c r="F11" s="32" t="s">
        <v>664</v>
      </c>
      <c r="G11" s="34" t="s">
        <v>73</v>
      </c>
      <c r="H11" s="35" t="n">
        <v>46315</v>
      </c>
      <c r="I11" s="35"/>
      <c r="J11" s="34" t="s">
        <v>631</v>
      </c>
      <c r="K11" s="34" t="str">
        <f aca="false">IF(ISNUMBER(I11),"Closed","Open")</f>
        <v>Open</v>
      </c>
      <c r="L11" s="34" t="n">
        <f aca="false">NETWORKDAYS(H11,IF(ISNUMBER(I11),I11,Assumptions!$B$4))-1</f>
        <v>4</v>
      </c>
      <c r="M11" s="34" t="n">
        <f aca="false">INDEX(Assumptions!$O$22:$O$24,MATCH(G11,Assumptions!$N$22:$N$24,0))</f>
        <v>10</v>
      </c>
      <c r="N11" s="34" t="str">
        <f aca="false">IF(L11&gt;M11,"SLA Breached","Within SLA")</f>
        <v>Within SLA</v>
      </c>
      <c r="O11" s="32" t="s">
        <v>665</v>
      </c>
    </row>
    <row r="12" customFormat="false" ht="48" hidden="false" customHeight="true" outlineLevel="0" collapsed="false">
      <c r="A12" s="34" t="s">
        <v>666</v>
      </c>
      <c r="B12" s="34" t="s">
        <v>279</v>
      </c>
      <c r="C12" s="32" t="str">
        <f aca="false">IFERROR(INDEX(Client_Master!$B$2:$B$41,MATCH(B12,Client_Master!$A$2:$A$41,0)),"UNKNOWN CLIENT")</f>
        <v>Meridian Textile Exports Pvt Ltd</v>
      </c>
      <c r="D12" s="32" t="s">
        <v>634</v>
      </c>
      <c r="E12" s="32" t="s">
        <v>561</v>
      </c>
      <c r="F12" s="32" t="s">
        <v>667</v>
      </c>
      <c r="G12" s="34" t="s">
        <v>72</v>
      </c>
      <c r="H12" s="35" t="n">
        <v>46316</v>
      </c>
      <c r="I12" s="35"/>
      <c r="J12" s="34" t="s">
        <v>620</v>
      </c>
      <c r="K12" s="34" t="str">
        <f aca="false">IF(ISNUMBER(I12),"Closed","Open")</f>
        <v>Open</v>
      </c>
      <c r="L12" s="34" t="n">
        <f aca="false">NETWORKDAYS(H12,IF(ISNUMBER(I12),I12,Assumptions!$B$4))-1</f>
        <v>3</v>
      </c>
      <c r="M12" s="34" t="n">
        <f aca="false">INDEX(Assumptions!$O$22:$O$24,MATCH(G12,Assumptions!$N$22:$N$24,0))</f>
        <v>5</v>
      </c>
      <c r="N12" s="34" t="str">
        <f aca="false">IF(L12&gt;M12,"SLA Breached","Within SLA")</f>
        <v>Within SLA</v>
      </c>
      <c r="O12" s="32" t="s">
        <v>668</v>
      </c>
    </row>
    <row r="13" customFormat="false" ht="48" hidden="false" customHeight="true" outlineLevel="0" collapsed="false">
      <c r="A13" s="34" t="s">
        <v>669</v>
      </c>
      <c r="B13" s="34" t="s">
        <v>223</v>
      </c>
      <c r="C13" s="32" t="str">
        <f aca="false">IFERROR(INDEX(Client_Master!$B$2:$B$41,MATCH(B13,Client_Master!$A$2:$A$41,0)),"UNKNOWN CLIENT")</f>
        <v>Lotus Healthcare Systems Ltd</v>
      </c>
      <c r="D13" s="32" t="s">
        <v>670</v>
      </c>
      <c r="E13" s="32" t="s">
        <v>671</v>
      </c>
      <c r="F13" s="32" t="s">
        <v>672</v>
      </c>
      <c r="G13" s="34" t="s">
        <v>72</v>
      </c>
      <c r="H13" s="35" t="n">
        <v>46307</v>
      </c>
      <c r="I13" s="35" t="n">
        <v>46309</v>
      </c>
      <c r="J13" s="34" t="s">
        <v>673</v>
      </c>
      <c r="K13" s="34" t="str">
        <f aca="false">IF(ISNUMBER(I13),"Closed","Open")</f>
        <v>Closed</v>
      </c>
      <c r="L13" s="34" t="n">
        <f aca="false">NETWORKDAYS(H13,IF(ISNUMBER(I13),I13,Assumptions!$B$4))-1</f>
        <v>2</v>
      </c>
      <c r="M13" s="34" t="n">
        <f aca="false">INDEX(Assumptions!$O$22:$O$24,MATCH(G13,Assumptions!$N$22:$N$24,0))</f>
        <v>5</v>
      </c>
      <c r="N13" s="34" t="str">
        <f aca="false">IF(L13&gt;M13,"SLA Breached","Within SLA")</f>
        <v>Within SLA</v>
      </c>
      <c r="O13" s="32" t="s">
        <v>674</v>
      </c>
    </row>
    <row r="14" customFormat="false" ht="48" hidden="false" customHeight="true" outlineLevel="0" collapsed="false">
      <c r="A14" s="34" t="s">
        <v>675</v>
      </c>
      <c r="B14" s="34" t="s">
        <v>221</v>
      </c>
      <c r="C14" s="32" t="str">
        <f aca="false">IFERROR(INDEX(Client_Master!$B$2:$B$41,MATCH(B14,Client_Master!$A$2:$A$41,0)),"UNKNOWN CLIENT")</f>
        <v>Nordic Precision Manufacturing GmbH</v>
      </c>
      <c r="D14" s="32" t="s">
        <v>652</v>
      </c>
      <c r="E14" s="32" t="s">
        <v>676</v>
      </c>
      <c r="F14" s="32" t="s">
        <v>677</v>
      </c>
      <c r="G14" s="34" t="s">
        <v>73</v>
      </c>
      <c r="H14" s="35" t="n">
        <v>46303</v>
      </c>
      <c r="I14" s="35" t="n">
        <v>46315</v>
      </c>
      <c r="J14" s="34" t="s">
        <v>637</v>
      </c>
      <c r="K14" s="34" t="str">
        <f aca="false">IF(ISNUMBER(I14),"Closed","Open")</f>
        <v>Closed</v>
      </c>
      <c r="L14" s="34" t="n">
        <f aca="false">NETWORKDAYS(H14,IF(ISNUMBER(I14),I14,Assumptions!$B$4))-1</f>
        <v>8</v>
      </c>
      <c r="M14" s="34" t="n">
        <f aca="false">INDEX(Assumptions!$O$22:$O$24,MATCH(G14,Assumptions!$N$22:$N$24,0))</f>
        <v>10</v>
      </c>
      <c r="N14" s="34" t="str">
        <f aca="false">IF(L14&gt;M14,"SLA Breached","Within SLA")</f>
        <v>Within SLA</v>
      </c>
      <c r="O14" s="32" t="s">
        <v>678</v>
      </c>
    </row>
    <row r="15" customFormat="false" ht="48" hidden="false" customHeight="true" outlineLevel="0" collapsed="false">
      <c r="A15" s="34" t="s">
        <v>679</v>
      </c>
      <c r="B15" s="34" t="s">
        <v>239</v>
      </c>
      <c r="C15" s="32" t="str">
        <f aca="false">IFERROR(INDEX(Client_Master!$B$2:$B$41,MATCH(B15,Client_Master!$A$2:$A$41,0)),"UNKNOWN CLIENT")</f>
        <v>Coral Reef Gaming Ltd</v>
      </c>
      <c r="D15" s="32" t="s">
        <v>680</v>
      </c>
      <c r="E15" s="32" t="s">
        <v>681</v>
      </c>
      <c r="F15" s="32" t="s">
        <v>682</v>
      </c>
      <c r="G15" s="34" t="s">
        <v>72</v>
      </c>
      <c r="H15" s="35" t="n">
        <v>46317</v>
      </c>
      <c r="I15" s="35"/>
      <c r="J15" s="34" t="s">
        <v>637</v>
      </c>
      <c r="K15" s="34" t="str">
        <f aca="false">IF(ISNUMBER(I15),"Closed","Open")</f>
        <v>Open</v>
      </c>
      <c r="L15" s="34" t="n">
        <f aca="false">NETWORKDAYS(H15,IF(ISNUMBER(I15),I15,Assumptions!$B$4))-1</f>
        <v>2</v>
      </c>
      <c r="M15" s="34" t="n">
        <f aca="false">INDEX(Assumptions!$O$22:$O$24,MATCH(G15,Assumptions!$N$22:$N$24,0))</f>
        <v>5</v>
      </c>
      <c r="N15" s="34" t="str">
        <f aca="false">IF(L15&gt;M15,"SLA Breached","Within SLA")</f>
        <v>Within SLA</v>
      </c>
      <c r="O15" s="32" t="s">
        <v>683</v>
      </c>
    </row>
  </sheetData>
  <autoFilter ref="A1:O15"/>
  <conditionalFormatting sqref="N2:N15">
    <cfRule type="expression" priority="2" aboveAverage="0" equalAverage="0" bottom="0" percent="0" rank="0" text="" dxfId="12">
      <formula>ISNUMBER(SEARCH("Breached",N2))</formula>
    </cfRule>
    <cfRule type="expression" priority="3" aboveAverage="0" equalAverage="0" bottom="0" percent="0" rank="0" text="" dxfId="11">
      <formula>ISNUMBER(SEARCH("Within",N2))</formula>
    </cfRule>
  </conditionalFormatting>
  <conditionalFormatting sqref="K2:K15">
    <cfRule type="expression" priority="4" aboveAverage="0" equalAverage="0" bottom="0" percent="0" rank="0" text="" dxfId="10">
      <formula>ISNUMBER(SEARCH("Open",K2))</formula>
    </cfRule>
  </conditionalFormatting>
  <dataValidations count="1">
    <dataValidation allowBlank="false" errorStyle="stop" operator="between" showDropDown="false" showErrorMessage="false" showInputMessage="false" sqref="G2:G1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2026-10-26T07:29:20Z</dcterms:created>
  <dc:creator>openpyxl</dc:creator>
  <dc:description/>
  <dc:language>en-US</dc:language>
  <cp:lastModifiedBy/>
  <dcterms:modified xsi:type="dcterms:W3CDTF">2026-10-26T07:29:23Z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